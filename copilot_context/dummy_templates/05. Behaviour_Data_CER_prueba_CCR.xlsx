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EM2025008413\Downloads\"/>
    </mc:Choice>
  </mc:AlternateContent>
  <xr:revisionPtr revIDLastSave="0" documentId="13_ncr:1_{B4CD28F5-97F5-438B-955F-6DE2BC32AAB1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Instructions" sheetId="1" r:id="rId1"/>
    <sheet name="NMDSetup" sheetId="2" r:id="rId2"/>
    <sheet name="NMD Base" sheetId="3" r:id="rId3"/>
    <sheet name="PPSetup" sheetId="4" r:id="rId4"/>
    <sheet name="PP Base" sheetId="5" r:id="rId5"/>
    <sheet name="NBSetup" sheetId="6" r:id="rId6"/>
    <sheet name="New Busines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N1X68aShYYDOne2j8sjPb/a1frnSb6pmkeu4SNYnoy4="/>
    </ext>
  </extLst>
</workbook>
</file>

<file path=xl/calcChain.xml><?xml version="1.0" encoding="utf-8"?>
<calcChain xmlns="http://schemas.openxmlformats.org/spreadsheetml/2006/main">
  <c r="R73" i="7" l="1"/>
  <c r="AG73" i="7" s="1"/>
  <c r="AV73" i="7" s="1"/>
  <c r="BK73" i="7" s="1"/>
  <c r="BZ73" i="7" s="1"/>
  <c r="CO73" i="7" s="1"/>
  <c r="DD73" i="7" s="1"/>
  <c r="DS73" i="7" s="1"/>
  <c r="EH73" i="7" s="1"/>
  <c r="FK73" i="7" s="1"/>
  <c r="FZ73" i="7" s="1"/>
  <c r="R72" i="7"/>
  <c r="AG72" i="7" s="1"/>
  <c r="AV72" i="7" s="1"/>
  <c r="BK72" i="7" s="1"/>
  <c r="BZ72" i="7" s="1"/>
  <c r="CO72" i="7" s="1"/>
  <c r="DD72" i="7" s="1"/>
  <c r="DS72" i="7" s="1"/>
  <c r="EH72" i="7" s="1"/>
  <c r="FK72" i="7" s="1"/>
  <c r="FZ72" i="7" s="1"/>
  <c r="R71" i="7"/>
  <c r="AG71" i="7" s="1"/>
  <c r="AV71" i="7" s="1"/>
  <c r="BK71" i="7" s="1"/>
  <c r="BZ71" i="7" s="1"/>
  <c r="CO71" i="7" s="1"/>
  <c r="DD71" i="7" s="1"/>
  <c r="DS71" i="7" s="1"/>
  <c r="EH71" i="7" s="1"/>
  <c r="FK71" i="7" s="1"/>
  <c r="FZ71" i="7" s="1"/>
  <c r="R70" i="7"/>
  <c r="AG70" i="7" s="1"/>
  <c r="AV70" i="7" s="1"/>
  <c r="BK70" i="7" s="1"/>
  <c r="BZ70" i="7" s="1"/>
  <c r="CO70" i="7" s="1"/>
  <c r="DD70" i="7" s="1"/>
  <c r="DS70" i="7" s="1"/>
  <c r="EH70" i="7" s="1"/>
  <c r="FK70" i="7" s="1"/>
  <c r="FZ70" i="7" s="1"/>
  <c r="R69" i="7"/>
  <c r="AG69" i="7" s="1"/>
  <c r="AV69" i="7" s="1"/>
  <c r="BK69" i="7" s="1"/>
  <c r="BZ69" i="7" s="1"/>
  <c r="CO69" i="7" s="1"/>
  <c r="DD69" i="7" s="1"/>
  <c r="DS69" i="7" s="1"/>
  <c r="EH69" i="7" s="1"/>
  <c r="FK69" i="7" s="1"/>
  <c r="FZ69" i="7" s="1"/>
  <c r="R68" i="7"/>
  <c r="AG68" i="7" s="1"/>
  <c r="AV68" i="7" s="1"/>
  <c r="BK68" i="7" s="1"/>
  <c r="BZ68" i="7" s="1"/>
  <c r="CO68" i="7" s="1"/>
  <c r="DD68" i="7" s="1"/>
  <c r="DS68" i="7" s="1"/>
  <c r="EH68" i="7" s="1"/>
  <c r="FK68" i="7" s="1"/>
  <c r="FZ68" i="7" s="1"/>
  <c r="R67" i="7"/>
  <c r="AG67" i="7" s="1"/>
  <c r="AV67" i="7" s="1"/>
  <c r="BK67" i="7" s="1"/>
  <c r="BZ67" i="7" s="1"/>
  <c r="CO67" i="7" s="1"/>
  <c r="DD67" i="7" s="1"/>
  <c r="DS67" i="7" s="1"/>
  <c r="EH67" i="7" s="1"/>
  <c r="FK67" i="7" s="1"/>
  <c r="FZ67" i="7" s="1"/>
  <c r="R66" i="7"/>
  <c r="AG66" i="7" s="1"/>
  <c r="AV66" i="7" s="1"/>
  <c r="BK66" i="7" s="1"/>
  <c r="BZ66" i="7" s="1"/>
  <c r="CO66" i="7" s="1"/>
  <c r="DD66" i="7" s="1"/>
  <c r="DS66" i="7" s="1"/>
  <c r="EH66" i="7" s="1"/>
  <c r="FK66" i="7" s="1"/>
  <c r="FZ66" i="7" s="1"/>
  <c r="R65" i="7"/>
  <c r="AG65" i="7" s="1"/>
  <c r="AV65" i="7" s="1"/>
  <c r="BK65" i="7" s="1"/>
  <c r="BZ65" i="7" s="1"/>
  <c r="CO65" i="7" s="1"/>
  <c r="DD65" i="7" s="1"/>
  <c r="DS65" i="7" s="1"/>
  <c r="EH65" i="7" s="1"/>
  <c r="FK65" i="7" s="1"/>
  <c r="FZ65" i="7" s="1"/>
  <c r="R64" i="7"/>
  <c r="AG64" i="7" s="1"/>
  <c r="AV64" i="7" s="1"/>
  <c r="BK64" i="7" s="1"/>
  <c r="BZ64" i="7" s="1"/>
  <c r="CO64" i="7" s="1"/>
  <c r="DD64" i="7" s="1"/>
  <c r="DS64" i="7" s="1"/>
  <c r="EH64" i="7" s="1"/>
  <c r="FK64" i="7" s="1"/>
  <c r="FZ64" i="7" s="1"/>
  <c r="R63" i="7"/>
  <c r="AG63" i="7" s="1"/>
  <c r="AV63" i="7" s="1"/>
  <c r="BK63" i="7" s="1"/>
  <c r="BZ63" i="7" s="1"/>
  <c r="CO63" i="7" s="1"/>
  <c r="DD63" i="7" s="1"/>
  <c r="DS63" i="7" s="1"/>
  <c r="EH63" i="7" s="1"/>
  <c r="FK63" i="7" s="1"/>
  <c r="FZ63" i="7" s="1"/>
  <c r="R62" i="7"/>
  <c r="AG62" i="7" s="1"/>
  <c r="AV62" i="7" s="1"/>
  <c r="BK62" i="7" s="1"/>
  <c r="BZ62" i="7" s="1"/>
  <c r="CO62" i="7" s="1"/>
  <c r="DD62" i="7" s="1"/>
  <c r="DS62" i="7" s="1"/>
  <c r="EH62" i="7" s="1"/>
  <c r="FK62" i="7" s="1"/>
  <c r="FZ62" i="7" s="1"/>
  <c r="R61" i="7"/>
  <c r="AG61" i="7" s="1"/>
  <c r="AV61" i="7" s="1"/>
  <c r="BK61" i="7" s="1"/>
  <c r="BZ61" i="7" s="1"/>
  <c r="CO61" i="7" s="1"/>
  <c r="DD61" i="7" s="1"/>
  <c r="DS61" i="7" s="1"/>
  <c r="EH61" i="7" s="1"/>
  <c r="FK61" i="7" s="1"/>
  <c r="FZ61" i="7" s="1"/>
  <c r="R60" i="7"/>
  <c r="AG60" i="7" s="1"/>
  <c r="AV60" i="7" s="1"/>
  <c r="BK60" i="7" s="1"/>
  <c r="BZ60" i="7" s="1"/>
  <c r="CO60" i="7" s="1"/>
  <c r="DD60" i="7" s="1"/>
  <c r="DS60" i="7" s="1"/>
  <c r="EH60" i="7" s="1"/>
  <c r="FK60" i="7" s="1"/>
  <c r="FZ60" i="7" s="1"/>
  <c r="R59" i="7"/>
  <c r="AG59" i="7" s="1"/>
  <c r="AV59" i="7" s="1"/>
  <c r="BK59" i="7" s="1"/>
  <c r="BZ59" i="7" s="1"/>
  <c r="CO59" i="7" s="1"/>
  <c r="DD59" i="7" s="1"/>
  <c r="DS59" i="7" s="1"/>
  <c r="EH59" i="7" s="1"/>
  <c r="FK59" i="7" s="1"/>
  <c r="FZ59" i="7" s="1"/>
  <c r="R58" i="7"/>
  <c r="AG58" i="7" s="1"/>
  <c r="AV58" i="7" s="1"/>
  <c r="BK58" i="7" s="1"/>
  <c r="BZ58" i="7" s="1"/>
  <c r="CO58" i="7" s="1"/>
  <c r="DD58" i="7" s="1"/>
  <c r="DS58" i="7" s="1"/>
  <c r="EH58" i="7" s="1"/>
  <c r="FK58" i="7" s="1"/>
  <c r="FZ58" i="7" s="1"/>
  <c r="R57" i="7"/>
  <c r="AG57" i="7" s="1"/>
  <c r="AV57" i="7" s="1"/>
  <c r="BK57" i="7" s="1"/>
  <c r="BZ57" i="7" s="1"/>
  <c r="CO57" i="7" s="1"/>
  <c r="DD57" i="7" s="1"/>
  <c r="DS57" i="7" s="1"/>
  <c r="EH57" i="7" s="1"/>
  <c r="FK57" i="7" s="1"/>
  <c r="FZ57" i="7" s="1"/>
  <c r="R56" i="7"/>
  <c r="AG56" i="7" s="1"/>
  <c r="AV56" i="7" s="1"/>
  <c r="BK56" i="7" s="1"/>
  <c r="BZ56" i="7" s="1"/>
  <c r="CO56" i="7" s="1"/>
  <c r="DD56" i="7" s="1"/>
  <c r="DS56" i="7" s="1"/>
  <c r="EH56" i="7" s="1"/>
  <c r="FK56" i="7" s="1"/>
  <c r="FZ56" i="7" s="1"/>
  <c r="R55" i="7"/>
  <c r="AG55" i="7" s="1"/>
  <c r="AV55" i="7" s="1"/>
  <c r="BK55" i="7" s="1"/>
  <c r="BZ55" i="7" s="1"/>
  <c r="CO55" i="7" s="1"/>
  <c r="DD55" i="7" s="1"/>
  <c r="DS55" i="7" s="1"/>
  <c r="EH55" i="7" s="1"/>
  <c r="FK55" i="7" s="1"/>
  <c r="FZ55" i="7" s="1"/>
  <c r="R54" i="7"/>
  <c r="AG54" i="7" s="1"/>
  <c r="AV54" i="7" s="1"/>
  <c r="BK54" i="7" s="1"/>
  <c r="BZ54" i="7" s="1"/>
  <c r="CO54" i="7" s="1"/>
  <c r="DD54" i="7" s="1"/>
  <c r="DS54" i="7" s="1"/>
  <c r="EH54" i="7" s="1"/>
  <c r="FK54" i="7" s="1"/>
  <c r="FZ54" i="7" s="1"/>
  <c r="R53" i="7"/>
  <c r="AG53" i="7" s="1"/>
  <c r="AV53" i="7" s="1"/>
  <c r="BK53" i="7" s="1"/>
  <c r="BZ53" i="7" s="1"/>
  <c r="CO53" i="7" s="1"/>
  <c r="DD53" i="7" s="1"/>
  <c r="DS53" i="7" s="1"/>
  <c r="EH53" i="7" s="1"/>
  <c r="FK53" i="7" s="1"/>
  <c r="FZ53" i="7" s="1"/>
  <c r="R52" i="7"/>
  <c r="AG52" i="7" s="1"/>
  <c r="AV52" i="7" s="1"/>
  <c r="BK52" i="7" s="1"/>
  <c r="BZ52" i="7" s="1"/>
  <c r="CO52" i="7" s="1"/>
  <c r="DD52" i="7" s="1"/>
  <c r="DS52" i="7" s="1"/>
  <c r="EH52" i="7" s="1"/>
  <c r="FK52" i="7" s="1"/>
  <c r="FZ52" i="7" s="1"/>
  <c r="R51" i="7"/>
  <c r="AG51" i="7" s="1"/>
  <c r="AV51" i="7" s="1"/>
  <c r="BK51" i="7" s="1"/>
  <c r="BZ51" i="7" s="1"/>
  <c r="CO51" i="7" s="1"/>
  <c r="DD51" i="7" s="1"/>
  <c r="DS51" i="7" s="1"/>
  <c r="EH51" i="7" s="1"/>
  <c r="FK51" i="7" s="1"/>
  <c r="FZ51" i="7" s="1"/>
  <c r="R50" i="7"/>
  <c r="AG50" i="7" s="1"/>
  <c r="AV50" i="7" s="1"/>
  <c r="BK50" i="7" s="1"/>
  <c r="BZ50" i="7" s="1"/>
  <c r="CO50" i="7" s="1"/>
  <c r="DD50" i="7" s="1"/>
  <c r="DS50" i="7" s="1"/>
  <c r="EH50" i="7" s="1"/>
  <c r="FK50" i="7" s="1"/>
  <c r="FZ50" i="7" s="1"/>
  <c r="R49" i="7"/>
  <c r="AG49" i="7" s="1"/>
  <c r="AV49" i="7" s="1"/>
  <c r="BK49" i="7" s="1"/>
  <c r="BZ49" i="7" s="1"/>
  <c r="CO49" i="7" s="1"/>
  <c r="DD49" i="7" s="1"/>
  <c r="DS49" i="7" s="1"/>
  <c r="EH49" i="7" s="1"/>
  <c r="FK49" i="7" s="1"/>
  <c r="FZ49" i="7" s="1"/>
  <c r="R48" i="7"/>
  <c r="AG48" i="7" s="1"/>
  <c r="AV48" i="7" s="1"/>
  <c r="BK48" i="7" s="1"/>
  <c r="BZ48" i="7" s="1"/>
  <c r="CO48" i="7" s="1"/>
  <c r="DD48" i="7" s="1"/>
  <c r="DS48" i="7" s="1"/>
  <c r="EH48" i="7" s="1"/>
  <c r="FK48" i="7" s="1"/>
  <c r="FZ48" i="7" s="1"/>
  <c r="R47" i="7"/>
  <c r="AG47" i="7" s="1"/>
  <c r="AV47" i="7" s="1"/>
  <c r="BK47" i="7" s="1"/>
  <c r="BZ47" i="7" s="1"/>
  <c r="CO47" i="7" s="1"/>
  <c r="DD47" i="7" s="1"/>
  <c r="DS47" i="7" s="1"/>
  <c r="EH47" i="7" s="1"/>
  <c r="FK47" i="7" s="1"/>
  <c r="FZ47" i="7" s="1"/>
  <c r="R46" i="7"/>
  <c r="AG46" i="7" s="1"/>
  <c r="AV46" i="7" s="1"/>
  <c r="BK46" i="7" s="1"/>
  <c r="BZ46" i="7" s="1"/>
  <c r="CO46" i="7" s="1"/>
  <c r="DD46" i="7" s="1"/>
  <c r="DS46" i="7" s="1"/>
  <c r="EH46" i="7" s="1"/>
  <c r="FK46" i="7" s="1"/>
  <c r="FZ46" i="7" s="1"/>
  <c r="R45" i="7"/>
  <c r="AG45" i="7" s="1"/>
  <c r="AV45" i="7" s="1"/>
  <c r="BK45" i="7" s="1"/>
  <c r="BZ45" i="7" s="1"/>
  <c r="CO45" i="7" s="1"/>
  <c r="DD45" i="7" s="1"/>
  <c r="DS45" i="7" s="1"/>
  <c r="EH45" i="7" s="1"/>
  <c r="FK45" i="7" s="1"/>
  <c r="FZ45" i="7" s="1"/>
  <c r="R44" i="7"/>
  <c r="AG44" i="7" s="1"/>
  <c r="AV44" i="7" s="1"/>
  <c r="BK44" i="7" s="1"/>
  <c r="BZ44" i="7" s="1"/>
  <c r="CO44" i="7" s="1"/>
  <c r="DD44" i="7" s="1"/>
  <c r="DS44" i="7" s="1"/>
  <c r="EH44" i="7" s="1"/>
  <c r="FK44" i="7" s="1"/>
  <c r="FZ44" i="7" s="1"/>
  <c r="R43" i="7"/>
  <c r="AG43" i="7" s="1"/>
  <c r="AV43" i="7" s="1"/>
  <c r="BK43" i="7" s="1"/>
  <c r="BZ43" i="7" s="1"/>
  <c r="CO43" i="7" s="1"/>
  <c r="DD43" i="7" s="1"/>
  <c r="DS43" i="7" s="1"/>
  <c r="EH43" i="7" s="1"/>
  <c r="FK43" i="7" s="1"/>
  <c r="FZ43" i="7" s="1"/>
  <c r="R42" i="7"/>
  <c r="AG42" i="7" s="1"/>
  <c r="AV42" i="7" s="1"/>
  <c r="BK42" i="7" s="1"/>
  <c r="BZ42" i="7" s="1"/>
  <c r="CO42" i="7" s="1"/>
  <c r="DD42" i="7" s="1"/>
  <c r="DS42" i="7" s="1"/>
  <c r="EH42" i="7" s="1"/>
  <c r="FK42" i="7" s="1"/>
  <c r="FZ42" i="7" s="1"/>
  <c r="R41" i="7"/>
  <c r="AG41" i="7" s="1"/>
  <c r="AV41" i="7" s="1"/>
  <c r="BK41" i="7" s="1"/>
  <c r="BZ41" i="7" s="1"/>
  <c r="CO41" i="7" s="1"/>
  <c r="DD41" i="7" s="1"/>
  <c r="DS41" i="7" s="1"/>
  <c r="EH41" i="7" s="1"/>
  <c r="FK41" i="7" s="1"/>
  <c r="FZ41" i="7" s="1"/>
  <c r="R40" i="7"/>
  <c r="AG40" i="7" s="1"/>
  <c r="AV40" i="7" s="1"/>
  <c r="BK40" i="7" s="1"/>
  <c r="BZ40" i="7" s="1"/>
  <c r="CO40" i="7" s="1"/>
  <c r="DD40" i="7" s="1"/>
  <c r="DS40" i="7" s="1"/>
  <c r="EH40" i="7" s="1"/>
  <c r="FK40" i="7" s="1"/>
  <c r="FZ40" i="7" s="1"/>
  <c r="R39" i="7"/>
  <c r="AG39" i="7" s="1"/>
  <c r="AV39" i="7" s="1"/>
  <c r="BK39" i="7" s="1"/>
  <c r="BZ39" i="7" s="1"/>
  <c r="CO39" i="7" s="1"/>
  <c r="DD39" i="7" s="1"/>
  <c r="DS39" i="7" s="1"/>
  <c r="EH39" i="7" s="1"/>
  <c r="FK39" i="7" s="1"/>
  <c r="FZ39" i="7" s="1"/>
  <c r="R38" i="7"/>
  <c r="AG38" i="7" s="1"/>
  <c r="AV38" i="7" s="1"/>
  <c r="BK38" i="7" s="1"/>
  <c r="BZ38" i="7" s="1"/>
  <c r="CO38" i="7" s="1"/>
  <c r="DD38" i="7" s="1"/>
  <c r="DS38" i="7" s="1"/>
  <c r="EH38" i="7" s="1"/>
  <c r="FK38" i="7" s="1"/>
  <c r="FZ38" i="7" s="1"/>
  <c r="R37" i="7"/>
  <c r="AG37" i="7" s="1"/>
  <c r="AV37" i="7" s="1"/>
  <c r="BK37" i="7" s="1"/>
  <c r="BZ37" i="7" s="1"/>
  <c r="CO37" i="7" s="1"/>
  <c r="DD37" i="7" s="1"/>
  <c r="DS37" i="7" s="1"/>
  <c r="EH37" i="7" s="1"/>
  <c r="FK37" i="7" s="1"/>
  <c r="FZ37" i="7" s="1"/>
  <c r="R36" i="7"/>
  <c r="AG36" i="7" s="1"/>
  <c r="AV36" i="7" s="1"/>
  <c r="BK36" i="7" s="1"/>
  <c r="BZ36" i="7" s="1"/>
  <c r="CO36" i="7" s="1"/>
  <c r="DD36" i="7" s="1"/>
  <c r="DS36" i="7" s="1"/>
  <c r="EH36" i="7" s="1"/>
  <c r="FK36" i="7" s="1"/>
  <c r="FZ36" i="7" s="1"/>
  <c r="R35" i="7"/>
  <c r="AG35" i="7" s="1"/>
  <c r="AV35" i="7" s="1"/>
  <c r="BK35" i="7" s="1"/>
  <c r="BZ35" i="7" s="1"/>
  <c r="CO35" i="7" s="1"/>
  <c r="DD35" i="7" s="1"/>
  <c r="DS35" i="7" s="1"/>
  <c r="EH35" i="7" s="1"/>
  <c r="FK35" i="7" s="1"/>
  <c r="FZ35" i="7" s="1"/>
  <c r="R34" i="7"/>
  <c r="AG34" i="7" s="1"/>
  <c r="AV34" i="7" s="1"/>
  <c r="BK34" i="7" s="1"/>
  <c r="BZ34" i="7" s="1"/>
  <c r="CO34" i="7" s="1"/>
  <c r="DD34" i="7" s="1"/>
  <c r="DS34" i="7" s="1"/>
  <c r="EH34" i="7" s="1"/>
  <c r="FK34" i="7" s="1"/>
  <c r="FZ34" i="7" s="1"/>
  <c r="R33" i="7"/>
  <c r="AG33" i="7" s="1"/>
  <c r="AV33" i="7" s="1"/>
  <c r="BK33" i="7" s="1"/>
  <c r="BZ33" i="7" s="1"/>
  <c r="CO33" i="7" s="1"/>
  <c r="DD33" i="7" s="1"/>
  <c r="DS33" i="7" s="1"/>
  <c r="EH33" i="7" s="1"/>
  <c r="FK33" i="7" s="1"/>
  <c r="FZ33" i="7" s="1"/>
  <c r="R32" i="7"/>
  <c r="AG32" i="7" s="1"/>
  <c r="AV32" i="7" s="1"/>
  <c r="BK32" i="7" s="1"/>
  <c r="BZ32" i="7" s="1"/>
  <c r="CO32" i="7" s="1"/>
  <c r="DD32" i="7" s="1"/>
  <c r="DS32" i="7" s="1"/>
  <c r="EH32" i="7" s="1"/>
  <c r="FK32" i="7" s="1"/>
  <c r="FZ32" i="7" s="1"/>
  <c r="R31" i="7"/>
  <c r="AG31" i="7" s="1"/>
  <c r="AV31" i="7" s="1"/>
  <c r="BK31" i="7" s="1"/>
  <c r="BZ31" i="7" s="1"/>
  <c r="CO31" i="7" s="1"/>
  <c r="DD31" i="7" s="1"/>
  <c r="DS31" i="7" s="1"/>
  <c r="EH31" i="7" s="1"/>
  <c r="FK31" i="7" s="1"/>
  <c r="FZ31" i="7" s="1"/>
  <c r="R30" i="7"/>
  <c r="AG30" i="7" s="1"/>
  <c r="AV30" i="7" s="1"/>
  <c r="BK30" i="7" s="1"/>
  <c r="BZ30" i="7" s="1"/>
  <c r="CO30" i="7" s="1"/>
  <c r="DD30" i="7" s="1"/>
  <c r="DS30" i="7" s="1"/>
  <c r="EH30" i="7" s="1"/>
  <c r="FK30" i="7" s="1"/>
  <c r="FZ30" i="7" s="1"/>
  <c r="R29" i="7"/>
  <c r="AG29" i="7" s="1"/>
  <c r="AV29" i="7" s="1"/>
  <c r="BK29" i="7" s="1"/>
  <c r="BZ29" i="7" s="1"/>
  <c r="CO29" i="7" s="1"/>
  <c r="DD29" i="7" s="1"/>
  <c r="DS29" i="7" s="1"/>
  <c r="EH29" i="7" s="1"/>
  <c r="FK29" i="7" s="1"/>
  <c r="FZ29" i="7" s="1"/>
  <c r="R28" i="7"/>
  <c r="AG28" i="7" s="1"/>
  <c r="AV28" i="7" s="1"/>
  <c r="BK28" i="7" s="1"/>
  <c r="BZ28" i="7" s="1"/>
  <c r="CO28" i="7" s="1"/>
  <c r="DD28" i="7" s="1"/>
  <c r="DS28" i="7" s="1"/>
  <c r="EH28" i="7" s="1"/>
  <c r="FK28" i="7" s="1"/>
  <c r="FZ28" i="7" s="1"/>
  <c r="R27" i="7"/>
  <c r="AG27" i="7" s="1"/>
  <c r="AV27" i="7" s="1"/>
  <c r="BK27" i="7" s="1"/>
  <c r="BZ27" i="7" s="1"/>
  <c r="CO27" i="7" s="1"/>
  <c r="DD27" i="7" s="1"/>
  <c r="DS27" i="7" s="1"/>
  <c r="EH27" i="7" s="1"/>
  <c r="FK27" i="7" s="1"/>
  <c r="FZ27" i="7" s="1"/>
  <c r="R26" i="7"/>
  <c r="AG26" i="7" s="1"/>
  <c r="AV26" i="7" s="1"/>
  <c r="BK26" i="7" s="1"/>
  <c r="BZ26" i="7" s="1"/>
  <c r="CO26" i="7" s="1"/>
  <c r="DD26" i="7" s="1"/>
  <c r="DS26" i="7" s="1"/>
  <c r="EH26" i="7" s="1"/>
  <c r="FK26" i="7" s="1"/>
  <c r="FZ26" i="7" s="1"/>
  <c r="R25" i="7"/>
  <c r="AG25" i="7" s="1"/>
  <c r="AV25" i="7" s="1"/>
  <c r="BK25" i="7" s="1"/>
  <c r="BZ25" i="7" s="1"/>
  <c r="CO25" i="7" s="1"/>
  <c r="DD25" i="7" s="1"/>
  <c r="DS25" i="7" s="1"/>
  <c r="EH25" i="7" s="1"/>
  <c r="FK25" i="7" s="1"/>
  <c r="FZ25" i="7" s="1"/>
  <c r="R24" i="7"/>
  <c r="AG24" i="7" s="1"/>
  <c r="AV24" i="7" s="1"/>
  <c r="BK24" i="7" s="1"/>
  <c r="BZ24" i="7" s="1"/>
  <c r="CO24" i="7" s="1"/>
  <c r="DD24" i="7" s="1"/>
  <c r="DS24" i="7" s="1"/>
  <c r="EH24" i="7" s="1"/>
  <c r="FK24" i="7" s="1"/>
  <c r="FZ24" i="7" s="1"/>
  <c r="R23" i="7"/>
  <c r="AG23" i="7" s="1"/>
  <c r="AV23" i="7" s="1"/>
  <c r="BK23" i="7" s="1"/>
  <c r="BZ23" i="7" s="1"/>
  <c r="CO23" i="7" s="1"/>
  <c r="DD23" i="7" s="1"/>
  <c r="DS23" i="7" s="1"/>
  <c r="EH23" i="7" s="1"/>
  <c r="FK23" i="7" s="1"/>
  <c r="FZ23" i="7" s="1"/>
  <c r="R22" i="7"/>
  <c r="AG22" i="7" s="1"/>
  <c r="AV22" i="7" s="1"/>
  <c r="BK22" i="7" s="1"/>
  <c r="BZ22" i="7" s="1"/>
  <c r="CO22" i="7" s="1"/>
  <c r="DD22" i="7" s="1"/>
  <c r="DS22" i="7" s="1"/>
  <c r="EH22" i="7" s="1"/>
  <c r="FK22" i="7" s="1"/>
  <c r="FZ22" i="7" s="1"/>
  <c r="R21" i="7"/>
  <c r="AG21" i="7" s="1"/>
  <c r="AV21" i="7" s="1"/>
  <c r="BK21" i="7" s="1"/>
  <c r="BZ21" i="7" s="1"/>
  <c r="CO21" i="7" s="1"/>
  <c r="DD21" i="7" s="1"/>
  <c r="DS21" i="7" s="1"/>
  <c r="EH21" i="7" s="1"/>
  <c r="FK21" i="7" s="1"/>
  <c r="FZ21" i="7" s="1"/>
  <c r="R20" i="7"/>
  <c r="AG20" i="7" s="1"/>
  <c r="AV20" i="7" s="1"/>
  <c r="BK20" i="7" s="1"/>
  <c r="BZ20" i="7" s="1"/>
  <c r="CO20" i="7" s="1"/>
  <c r="DD20" i="7" s="1"/>
  <c r="DS20" i="7" s="1"/>
  <c r="EH20" i="7" s="1"/>
  <c r="FK20" i="7" s="1"/>
  <c r="FZ20" i="7" s="1"/>
  <c r="R19" i="7"/>
  <c r="AG19" i="7" s="1"/>
  <c r="AV19" i="7" s="1"/>
  <c r="BK19" i="7" s="1"/>
  <c r="BZ19" i="7" s="1"/>
  <c r="CO19" i="7" s="1"/>
  <c r="DD19" i="7" s="1"/>
  <c r="DS19" i="7" s="1"/>
  <c r="EH19" i="7" s="1"/>
  <c r="FK19" i="7" s="1"/>
  <c r="FZ19" i="7" s="1"/>
  <c r="R18" i="7"/>
  <c r="AG18" i="7" s="1"/>
  <c r="AV18" i="7" s="1"/>
  <c r="BK18" i="7" s="1"/>
  <c r="BZ18" i="7" s="1"/>
  <c r="CO18" i="7" s="1"/>
  <c r="DD18" i="7" s="1"/>
  <c r="DS18" i="7" s="1"/>
  <c r="EH18" i="7" s="1"/>
  <c r="FK18" i="7" s="1"/>
  <c r="FZ18" i="7" s="1"/>
  <c r="R17" i="7"/>
  <c r="AG17" i="7" s="1"/>
  <c r="AV17" i="7" s="1"/>
  <c r="BK17" i="7" s="1"/>
  <c r="BZ17" i="7" s="1"/>
  <c r="CO17" i="7" s="1"/>
  <c r="DD17" i="7" s="1"/>
  <c r="DS17" i="7" s="1"/>
  <c r="EH17" i="7" s="1"/>
  <c r="FK17" i="7" s="1"/>
  <c r="FZ17" i="7" s="1"/>
  <c r="R16" i="7"/>
  <c r="AG16" i="7" s="1"/>
  <c r="AV16" i="7" s="1"/>
  <c r="BK16" i="7" s="1"/>
  <c r="BZ16" i="7" s="1"/>
  <c r="CO16" i="7" s="1"/>
  <c r="DD16" i="7" s="1"/>
  <c r="DS16" i="7" s="1"/>
  <c r="EH16" i="7" s="1"/>
  <c r="FK16" i="7" s="1"/>
  <c r="FZ16" i="7" s="1"/>
  <c r="R15" i="7"/>
  <c r="AG15" i="7" s="1"/>
  <c r="AV15" i="7" s="1"/>
  <c r="BK15" i="7" s="1"/>
  <c r="BZ15" i="7" s="1"/>
  <c r="CO15" i="7" s="1"/>
  <c r="DD15" i="7" s="1"/>
  <c r="DS15" i="7" s="1"/>
  <c r="EH15" i="7" s="1"/>
  <c r="FK15" i="7" s="1"/>
  <c r="FZ15" i="7" s="1"/>
  <c r="R14" i="7"/>
  <c r="AG14" i="7" s="1"/>
  <c r="AV14" i="7" s="1"/>
  <c r="BK14" i="7" s="1"/>
  <c r="BZ14" i="7" s="1"/>
  <c r="CO14" i="7" s="1"/>
  <c r="DD14" i="7" s="1"/>
  <c r="DS14" i="7" s="1"/>
  <c r="EH14" i="7" s="1"/>
  <c r="FK14" i="7" s="1"/>
  <c r="FZ14" i="7" s="1"/>
  <c r="E13" i="7"/>
  <c r="F13" i="7" s="1"/>
  <c r="G13" i="7" s="1"/>
  <c r="H13" i="7" s="1"/>
  <c r="I13" i="7" s="1"/>
  <c r="J13" i="7" s="1"/>
  <c r="K13" i="7" s="1"/>
  <c r="L13" i="7" s="1"/>
  <c r="M13" i="7" s="1"/>
  <c r="N13" i="7" s="1"/>
  <c r="O13" i="7" s="1"/>
  <c r="Q27" i="3"/>
</calcChain>
</file>

<file path=xl/sharedStrings.xml><?xml version="1.0" encoding="utf-8"?>
<sst xmlns="http://schemas.openxmlformats.org/spreadsheetml/2006/main" count="3210" uniqueCount="472">
  <si>
    <t>SETUP SHEETS</t>
  </si>
  <si>
    <t>Names of setup sheets must not be modified. Unnecessary sheets can be deleted</t>
  </si>
  <si>
    <t>Adding columns on the left and rows on the top is forbidden</t>
  </si>
  <si>
    <t>Data coordinates must contain the whole matrix, with its header row and column, it does not matter if they have data or not</t>
  </si>
  <si>
    <t>Do not include title rows or columns in data coordinates</t>
  </si>
  <si>
    <t>Be careful with matrix coordinates</t>
  </si>
  <si>
    <t>First matrix coordinates must always be in cell D4</t>
  </si>
  <si>
    <t>DATA SHEETS</t>
  </si>
  <si>
    <t>Cell data should be consistent with data type</t>
  </si>
  <si>
    <t>The attributes related to NMDs models (Beta 1 and % Volatile) must be reported in the fields specified for each attribute. The order of the labels can not be modified.</t>
  </si>
  <si>
    <t>Avoid adding links</t>
  </si>
  <si>
    <t>In prepayments of type Seasonality, the structure of buckets must be the one defined in this template.</t>
  </si>
  <si>
    <t>Set</t>
  </si>
  <si>
    <t>Base</t>
  </si>
  <si>
    <t>Data sheet</t>
  </si>
  <si>
    <t>NMD Base</t>
  </si>
  <si>
    <t>Attributes</t>
  </si>
  <si>
    <t>Semi Attributes</t>
  </si>
  <si>
    <t>Amortization</t>
  </si>
  <si>
    <t>C12:F12</t>
  </si>
  <si>
    <t>F13:KS14</t>
  </si>
  <si>
    <t>C16:F16</t>
  </si>
  <si>
    <t>F17:IK18</t>
  </si>
  <si>
    <t>C20:F20</t>
  </si>
  <si>
    <t>F21:DI22</t>
  </si>
  <si>
    <t>USD CC</t>
  </si>
  <si>
    <t>C28:F28</t>
  </si>
  <si>
    <t>F29:IK30</t>
  </si>
  <si>
    <t>USD CA</t>
  </si>
  <si>
    <t>C32:F32</t>
  </si>
  <si>
    <t>F33:IK34</t>
  </si>
  <si>
    <t>USD O. Vista</t>
  </si>
  <si>
    <t>C36:F36</t>
  </si>
  <si>
    <t>F37:IK38</t>
  </si>
  <si>
    <t>Beta1</t>
  </si>
  <si>
    <t>%Volatile</t>
  </si>
  <si>
    <t>15D</t>
  </si>
  <si>
    <t>45D</t>
  </si>
  <si>
    <t>75D</t>
  </si>
  <si>
    <t>105D</t>
  </si>
  <si>
    <t>135D</t>
  </si>
  <si>
    <t>165D</t>
  </si>
  <si>
    <t>195D</t>
  </si>
  <si>
    <t>225D</t>
  </si>
  <si>
    <t>255D</t>
  </si>
  <si>
    <t>285D</t>
  </si>
  <si>
    <t>315D</t>
  </si>
  <si>
    <t>345D</t>
  </si>
  <si>
    <t>375D</t>
  </si>
  <si>
    <t>405D</t>
  </si>
  <si>
    <t>435D</t>
  </si>
  <si>
    <t>465D</t>
  </si>
  <si>
    <t>495D</t>
  </si>
  <si>
    <t>525D</t>
  </si>
  <si>
    <t>555D</t>
  </si>
  <si>
    <t>585D</t>
  </si>
  <si>
    <t>615D</t>
  </si>
  <si>
    <t>645D</t>
  </si>
  <si>
    <t>675D</t>
  </si>
  <si>
    <t>705D</t>
  </si>
  <si>
    <t>735D</t>
  </si>
  <si>
    <t>765D</t>
  </si>
  <si>
    <t>795D</t>
  </si>
  <si>
    <t>825D</t>
  </si>
  <si>
    <t>855D</t>
  </si>
  <si>
    <t>885D</t>
  </si>
  <si>
    <t>915D</t>
  </si>
  <si>
    <t>945D</t>
  </si>
  <si>
    <t>975D</t>
  </si>
  <si>
    <t>1005D</t>
  </si>
  <si>
    <t>1035D</t>
  </si>
  <si>
    <t>1065D</t>
  </si>
  <si>
    <t>1095D</t>
  </si>
  <si>
    <t>1125D</t>
  </si>
  <si>
    <t>1155D</t>
  </si>
  <si>
    <t>1185D</t>
  </si>
  <si>
    <t>1215D</t>
  </si>
  <si>
    <t>1245D</t>
  </si>
  <si>
    <t>1275D</t>
  </si>
  <si>
    <t>1305D</t>
  </si>
  <si>
    <t>1335D</t>
  </si>
  <si>
    <t>1365D</t>
  </si>
  <si>
    <t>1395D</t>
  </si>
  <si>
    <t>1425D</t>
  </si>
  <si>
    <t>1455D</t>
  </si>
  <si>
    <t>1485D</t>
  </si>
  <si>
    <t>1515D</t>
  </si>
  <si>
    <t>1545D</t>
  </si>
  <si>
    <t>1575D</t>
  </si>
  <si>
    <t>1605D</t>
  </si>
  <si>
    <t>1635D</t>
  </si>
  <si>
    <t>1665D</t>
  </si>
  <si>
    <t>1695D</t>
  </si>
  <si>
    <t>1725D</t>
  </si>
  <si>
    <t>1755D</t>
  </si>
  <si>
    <t>1785D</t>
  </si>
  <si>
    <t>1815D</t>
  </si>
  <si>
    <t>1845D</t>
  </si>
  <si>
    <t>1875D</t>
  </si>
  <si>
    <t>1905D</t>
  </si>
  <si>
    <t>1935D</t>
  </si>
  <si>
    <t>1965D</t>
  </si>
  <si>
    <t>1995D</t>
  </si>
  <si>
    <t>2025D</t>
  </si>
  <si>
    <t>2055D</t>
  </si>
  <si>
    <t>2085D</t>
  </si>
  <si>
    <t>2115D</t>
  </si>
  <si>
    <t>2145D</t>
  </si>
  <si>
    <t>2175D</t>
  </si>
  <si>
    <t>2205D</t>
  </si>
  <si>
    <t>2235D</t>
  </si>
  <si>
    <t>2265D</t>
  </si>
  <si>
    <t>2295D</t>
  </si>
  <si>
    <t>2325D</t>
  </si>
  <si>
    <t>2355D</t>
  </si>
  <si>
    <t>2385D</t>
  </si>
  <si>
    <t>2415D</t>
  </si>
  <si>
    <t>2445D</t>
  </si>
  <si>
    <t>2475D</t>
  </si>
  <si>
    <t>2505D</t>
  </si>
  <si>
    <t>2535D</t>
  </si>
  <si>
    <t>2565D</t>
  </si>
  <si>
    <t>2595D</t>
  </si>
  <si>
    <t>2625D</t>
  </si>
  <si>
    <t>2655D</t>
  </si>
  <si>
    <t>2685D</t>
  </si>
  <si>
    <t>2715D</t>
  </si>
  <si>
    <t>2745D</t>
  </si>
  <si>
    <t>2775D</t>
  </si>
  <si>
    <t>2805D</t>
  </si>
  <si>
    <t>2835D</t>
  </si>
  <si>
    <t>2865D</t>
  </si>
  <si>
    <t>2895D</t>
  </si>
  <si>
    <t>2925D</t>
  </si>
  <si>
    <t>2955D</t>
  </si>
  <si>
    <t>2985D</t>
  </si>
  <si>
    <t>3015D</t>
  </si>
  <si>
    <t>3045D</t>
  </si>
  <si>
    <t>3075D</t>
  </si>
  <si>
    <t>3105D</t>
  </si>
  <si>
    <t>3135D</t>
  </si>
  <si>
    <t>3165D</t>
  </si>
  <si>
    <t>3195D</t>
  </si>
  <si>
    <t>3225D</t>
  </si>
  <si>
    <t>3255D</t>
  </si>
  <si>
    <t>3285D</t>
  </si>
  <si>
    <t>3315D</t>
  </si>
  <si>
    <t>3345D</t>
  </si>
  <si>
    <t>3375D</t>
  </si>
  <si>
    <t>3405D</t>
  </si>
  <si>
    <t>3435D</t>
  </si>
  <si>
    <t>3465D</t>
  </si>
  <si>
    <t>3495D</t>
  </si>
  <si>
    <t>3525D</t>
  </si>
  <si>
    <t>3555D</t>
  </si>
  <si>
    <t>3585D</t>
  </si>
  <si>
    <t>3615D</t>
  </si>
  <si>
    <t>3645D</t>
  </si>
  <si>
    <t>3675D</t>
  </si>
  <si>
    <t>3705D</t>
  </si>
  <si>
    <t>3735D</t>
  </si>
  <si>
    <t>3765D</t>
  </si>
  <si>
    <t>3795D</t>
  </si>
  <si>
    <t>3825D</t>
  </si>
  <si>
    <t>3855D</t>
  </si>
  <si>
    <t>3885D</t>
  </si>
  <si>
    <t>3915D</t>
  </si>
  <si>
    <t>3945D</t>
  </si>
  <si>
    <t>3975D</t>
  </si>
  <si>
    <t>4005D</t>
  </si>
  <si>
    <t>4035D</t>
  </si>
  <si>
    <t>4065D</t>
  </si>
  <si>
    <t>4095D</t>
  </si>
  <si>
    <t>4125D</t>
  </si>
  <si>
    <t>4155D</t>
  </si>
  <si>
    <t>4185D</t>
  </si>
  <si>
    <t>4215D</t>
  </si>
  <si>
    <t>4245D</t>
  </si>
  <si>
    <t>4275D</t>
  </si>
  <si>
    <t>4305D</t>
  </si>
  <si>
    <t>4335D</t>
  </si>
  <si>
    <t>4365D</t>
  </si>
  <si>
    <t>4395D</t>
  </si>
  <si>
    <t>4425D</t>
  </si>
  <si>
    <t>4455D</t>
  </si>
  <si>
    <t>4485D</t>
  </si>
  <si>
    <t>4515D</t>
  </si>
  <si>
    <t>4545D</t>
  </si>
  <si>
    <t>4575D</t>
  </si>
  <si>
    <t>4605D</t>
  </si>
  <si>
    <t>4635D</t>
  </si>
  <si>
    <t>4665D</t>
  </si>
  <si>
    <t>4695D</t>
  </si>
  <si>
    <t>4725D</t>
  </si>
  <si>
    <t>4755D</t>
  </si>
  <si>
    <t>4785D</t>
  </si>
  <si>
    <t>4815D</t>
  </si>
  <si>
    <t>4845D</t>
  </si>
  <si>
    <t>4875D</t>
  </si>
  <si>
    <t>4905D</t>
  </si>
  <si>
    <t>4935D</t>
  </si>
  <si>
    <t>4965D</t>
  </si>
  <si>
    <t>4995D</t>
  </si>
  <si>
    <t>5025D</t>
  </si>
  <si>
    <t>5055D</t>
  </si>
  <si>
    <t>5085D</t>
  </si>
  <si>
    <t>5115D</t>
  </si>
  <si>
    <t>5145D</t>
  </si>
  <si>
    <t>5175D</t>
  </si>
  <si>
    <t>5205D</t>
  </si>
  <si>
    <t>5235D</t>
  </si>
  <si>
    <t>5265D</t>
  </si>
  <si>
    <t>5295D</t>
  </si>
  <si>
    <t>5325D</t>
  </si>
  <si>
    <t>5355D</t>
  </si>
  <si>
    <t>5385D</t>
  </si>
  <si>
    <t>5415D</t>
  </si>
  <si>
    <t>5445D</t>
  </si>
  <si>
    <t>5475D</t>
  </si>
  <si>
    <t>5505D</t>
  </si>
  <si>
    <t>5535D</t>
  </si>
  <si>
    <t>5565D</t>
  </si>
  <si>
    <t>5595D</t>
  </si>
  <si>
    <t>5625D</t>
  </si>
  <si>
    <t>5655D</t>
  </si>
  <si>
    <t>5685D</t>
  </si>
  <si>
    <t>5715D</t>
  </si>
  <si>
    <t>5745D</t>
  </si>
  <si>
    <t>5775D</t>
  </si>
  <si>
    <t>5805D</t>
  </si>
  <si>
    <t>5835D</t>
  </si>
  <si>
    <t>5865D</t>
  </si>
  <si>
    <t>5895D</t>
  </si>
  <si>
    <t>5925D</t>
  </si>
  <si>
    <t>5955D</t>
  </si>
  <si>
    <t>5985D</t>
  </si>
  <si>
    <t>6015D</t>
  </si>
  <si>
    <t>6045D</t>
  </si>
  <si>
    <t>6075D</t>
  </si>
  <si>
    <t>6105D</t>
  </si>
  <si>
    <t>6135D</t>
  </si>
  <si>
    <t>6165D</t>
  </si>
  <si>
    <t>6195D</t>
  </si>
  <si>
    <t>6225D</t>
  </si>
  <si>
    <t>6255D</t>
  </si>
  <si>
    <t>6285D</t>
  </si>
  <si>
    <t>6315D</t>
  </si>
  <si>
    <t>6345D</t>
  </si>
  <si>
    <t>6375D</t>
  </si>
  <si>
    <t>6405D</t>
  </si>
  <si>
    <t>6435D</t>
  </si>
  <si>
    <t>6465D</t>
  </si>
  <si>
    <t>6495D</t>
  </si>
  <si>
    <t>6525D</t>
  </si>
  <si>
    <t>6555D</t>
  </si>
  <si>
    <t>6585D</t>
  </si>
  <si>
    <t>6615D</t>
  </si>
  <si>
    <t>6645D</t>
  </si>
  <si>
    <t>6675D</t>
  </si>
  <si>
    <t>6705D</t>
  </si>
  <si>
    <t>6735D</t>
  </si>
  <si>
    <t>6765D</t>
  </si>
  <si>
    <t>6795D</t>
  </si>
  <si>
    <t>6825D</t>
  </si>
  <si>
    <t>6855D</t>
  </si>
  <si>
    <t>6885D</t>
  </si>
  <si>
    <t>6915D</t>
  </si>
  <si>
    <t>6945D</t>
  </si>
  <si>
    <t>6975D</t>
  </si>
  <si>
    <t>7005D</t>
  </si>
  <si>
    <t>7035D</t>
  </si>
  <si>
    <t>7065D</t>
  </si>
  <si>
    <t>7095D</t>
  </si>
  <si>
    <t>7125D</t>
  </si>
  <si>
    <t>7155D</t>
  </si>
  <si>
    <t>7185D</t>
  </si>
  <si>
    <t>7215D</t>
  </si>
  <si>
    <t>7245D</t>
  </si>
  <si>
    <t>7275D</t>
  </si>
  <si>
    <t>7305D</t>
  </si>
  <si>
    <t>7335D</t>
  </si>
  <si>
    <t>7365D</t>
  </si>
  <si>
    <t>7395D</t>
  </si>
  <si>
    <t>7425D</t>
  </si>
  <si>
    <t>7455D</t>
  </si>
  <si>
    <t>7485D</t>
  </si>
  <si>
    <t>7515D</t>
  </si>
  <si>
    <t>7545D</t>
  </si>
  <si>
    <t>7575D</t>
  </si>
  <si>
    <t>7605D</t>
  </si>
  <si>
    <t>7635D</t>
  </si>
  <si>
    <t>7665D</t>
  </si>
  <si>
    <t>7695D</t>
  </si>
  <si>
    <t>7725D</t>
  </si>
  <si>
    <t>7755D</t>
  </si>
  <si>
    <t>7785D</t>
  </si>
  <si>
    <t>7815D</t>
  </si>
  <si>
    <t>7845D</t>
  </si>
  <si>
    <t>7875D</t>
  </si>
  <si>
    <t>7905D</t>
  </si>
  <si>
    <t>7935D</t>
  </si>
  <si>
    <t>7965D</t>
  </si>
  <si>
    <t>7995D</t>
  </si>
  <si>
    <t>8025D</t>
  </si>
  <si>
    <t>8055D</t>
  </si>
  <si>
    <t>8085D</t>
  </si>
  <si>
    <t>8115D</t>
  </si>
  <si>
    <t>8145D</t>
  </si>
  <si>
    <t>8175D</t>
  </si>
  <si>
    <t>8205D</t>
  </si>
  <si>
    <t>8235D</t>
  </si>
  <si>
    <t>8265D</t>
  </si>
  <si>
    <t>8295D</t>
  </si>
  <si>
    <t>8325D</t>
  </si>
  <si>
    <t>8355D</t>
  </si>
  <si>
    <t>8385D</t>
  </si>
  <si>
    <t>8415D</t>
  </si>
  <si>
    <t>8445D</t>
  </si>
  <si>
    <t>8475D</t>
  </si>
  <si>
    <t>8505D</t>
  </si>
  <si>
    <t>8535D</t>
  </si>
  <si>
    <t>8565D</t>
  </si>
  <si>
    <t>8595D</t>
  </si>
  <si>
    <t>8625D</t>
  </si>
  <si>
    <t>8655D</t>
  </si>
  <si>
    <t>8685D</t>
  </si>
  <si>
    <t>8715D</t>
  </si>
  <si>
    <t>8745D</t>
  </si>
  <si>
    <t>8775D</t>
  </si>
  <si>
    <t>8805D</t>
  </si>
  <si>
    <t>8835D</t>
  </si>
  <si>
    <t>8865D</t>
  </si>
  <si>
    <t>8895D</t>
  </si>
  <si>
    <t>8925D</t>
  </si>
  <si>
    <t>8955D</t>
  </si>
  <si>
    <t>8985D</t>
  </si>
  <si>
    <t>USD O. VIsta</t>
  </si>
  <si>
    <t>6M</t>
  </si>
  <si>
    <t>1M</t>
  </si>
  <si>
    <t>PP Base</t>
  </si>
  <si>
    <t>Prepayment</t>
  </si>
  <si>
    <t>SMM</t>
  </si>
  <si>
    <t>Penalty</t>
  </si>
  <si>
    <t>TPT</t>
  </si>
  <si>
    <t>B11:C12</t>
  </si>
  <si>
    <t>B13:C14</t>
  </si>
  <si>
    <t>B18:C19</t>
  </si>
  <si>
    <t>B20:C21</t>
  </si>
  <si>
    <t>B24:C25</t>
  </si>
  <si>
    <t>B26:C27</t>
  </si>
  <si>
    <t>B31:C32</t>
  </si>
  <si>
    <t>B33:C34</t>
  </si>
  <si>
    <t>MODELOS DE COMPORTAMIENTO - PREPAGOS</t>
  </si>
  <si>
    <t xml:space="preserve">% PREPAYMENT MORTGAGES &amp; CONSUMER </t>
  </si>
  <si>
    <t>Planning</t>
  </si>
  <si>
    <t>balance</t>
  </si>
  <si>
    <t>percentage</t>
  </si>
  <si>
    <t>pricingSpread</t>
  </si>
  <si>
    <t>repricingSpread</t>
  </si>
  <si>
    <t>maturity</t>
  </si>
  <si>
    <t>cap</t>
  </si>
  <si>
    <t>floor</t>
  </si>
  <si>
    <t>commercial_margin</t>
  </si>
  <si>
    <t>creditSpread</t>
  </si>
  <si>
    <t>Beta</t>
  </si>
  <si>
    <t>Delay</t>
  </si>
  <si>
    <t>MixedLoanCoupon</t>
  </si>
  <si>
    <t>FixedEndPeriod</t>
  </si>
  <si>
    <t>New_Business</t>
  </si>
  <si>
    <t>New Business</t>
  </si>
  <si>
    <t>EV13:FH17</t>
  </si>
  <si>
    <t xml:space="preserve">  PARAMETRIZACIÓN DE ESCENARIOS DE NUEVO NEGOCIO</t>
  </si>
  <si>
    <t>Balance</t>
  </si>
  <si>
    <t>Percentage</t>
  </si>
  <si>
    <t>Pricing Spread</t>
  </si>
  <si>
    <t>Repricing Spread</t>
  </si>
  <si>
    <t>Maturity</t>
  </si>
  <si>
    <t>Cap</t>
  </si>
  <si>
    <t>Floor</t>
  </si>
  <si>
    <t>Commercial_margin</t>
  </si>
  <si>
    <t>Credit Spread</t>
  </si>
  <si>
    <t>MIxedLoanCoupon</t>
  </si>
  <si>
    <t>3M</t>
  </si>
  <si>
    <t>12M</t>
  </si>
  <si>
    <t>60M</t>
  </si>
  <si>
    <t>USD - Deuda del Estado Fija</t>
  </si>
  <si>
    <t>USD - Deuda del Estado Variable</t>
  </si>
  <si>
    <t>USD - Resto de Cartera de Renta Fija</t>
  </si>
  <si>
    <t>USD - Garantias reales empresas</t>
  </si>
  <si>
    <t>USD - Administraciones Publicas</t>
  </si>
  <si>
    <t>USD - Prestamo al Consumo Fijo</t>
  </si>
  <si>
    <t>USD - Prestamo al Consumo Variable</t>
  </si>
  <si>
    <t>USD - Tarjetas de Credito a credito</t>
  </si>
  <si>
    <t>USD - Hipotecarios Fijo</t>
  </si>
  <si>
    <t>USD - Hipotecarios Variable</t>
  </si>
  <si>
    <t>USD - Resto particulares</t>
  </si>
  <si>
    <t>USD - Cartera empresas Fijo</t>
  </si>
  <si>
    <t>USD - Cartera empresas Variable</t>
  </si>
  <si>
    <t>USD - Resto empresas Fijo</t>
  </si>
  <si>
    <t>USD - Resto empresas Variable</t>
  </si>
  <si>
    <t>USD - Inversion Leasing</t>
  </si>
  <si>
    <t>USD - Excedente Integracion</t>
  </si>
  <si>
    <t>USD - Coeficientes obligatorios</t>
  </si>
  <si>
    <t>USD - Cuenta de Cuadre Activo</t>
  </si>
  <si>
    <t>USD - Ctas.Plazo Entidades Financieras Pasivo</t>
  </si>
  <si>
    <t>USD - Cuentas corrientes</t>
  </si>
  <si>
    <t>USD - Cuentas de ahorro</t>
  </si>
  <si>
    <t>USD - Imposiciones negocio</t>
  </si>
  <si>
    <t>USD - Otros vista</t>
  </si>
  <si>
    <t>USD - Cuentas corrientes remuneradas</t>
  </si>
  <si>
    <t>USD - Ces.temp.activos</t>
  </si>
  <si>
    <t>USD - Redescuentos</t>
  </si>
  <si>
    <t>USD - Cuenta de Cuadre Pasivo</t>
  </si>
  <si>
    <t>MXN CC</t>
  </si>
  <si>
    <t>MXN CA</t>
  </si>
  <si>
    <t>MXN O. Vista</t>
  </si>
  <si>
    <t>MXN CCR</t>
  </si>
  <si>
    <t>USD Hipotecario</t>
  </si>
  <si>
    <t>USD Consumo</t>
  </si>
  <si>
    <t>MXN Hipotecario</t>
  </si>
  <si>
    <t>MXN Consumo</t>
  </si>
  <si>
    <t>MXN_Hipotecario</t>
  </si>
  <si>
    <t>MXN_Consumo</t>
  </si>
  <si>
    <t>USD_Hipotecario</t>
  </si>
  <si>
    <t>USD_Consumo</t>
  </si>
  <si>
    <t>MXN - Letras del Tesoro Posicion Tesoreria</t>
  </si>
  <si>
    <t>MXN - Bono Dual</t>
  </si>
  <si>
    <t>MXN - Bonos Fijos</t>
  </si>
  <si>
    <t>MXN - Prestamo Consumo Fijo</t>
  </si>
  <si>
    <t>MXN - Prestamo Consumo Variable</t>
  </si>
  <si>
    <t>MXN - Tarjetas de Credito a credito</t>
  </si>
  <si>
    <t>MXN - Hipotecarios Fijo</t>
  </si>
  <si>
    <t>MXN - Hipotecarios Variable</t>
  </si>
  <si>
    <t>MXN - Cartera empresas</t>
  </si>
  <si>
    <t>MXN - Garantias reales empresas</t>
  </si>
  <si>
    <t>MXN - Inversion Leasing Fijo</t>
  </si>
  <si>
    <t>MXN - Inversion Leasing Variable</t>
  </si>
  <si>
    <t>MXN - Resto Empresas Fijo</t>
  </si>
  <si>
    <t>MXN - Resto Empresas Variable</t>
  </si>
  <si>
    <t>MXN - Mora</t>
  </si>
  <si>
    <t>MXN - Coeficientes obligatorios</t>
  </si>
  <si>
    <t>MXN - Inversion irregular Descubiertos</t>
  </si>
  <si>
    <t>MXN - Cuenta de Cuadre Activo</t>
  </si>
  <si>
    <t>MXN - Ctas.Plazo Entidades Financieras Pasivo</t>
  </si>
  <si>
    <t>MXN - Cuentas corrientes</t>
  </si>
  <si>
    <t>MXN - Cuentas de ahorro</t>
  </si>
  <si>
    <t>MXN - Imposiciones Negocio Fijo</t>
  </si>
  <si>
    <t>MXN - Imposiciones Negocio Variable</t>
  </si>
  <si>
    <t>MXN - Otros vista</t>
  </si>
  <si>
    <t>MXN - Cuentas corrientes remuneradas</t>
  </si>
  <si>
    <t>MXN - Emprestitos Fijo</t>
  </si>
  <si>
    <t>MXN - Emprestitos Variable</t>
  </si>
  <si>
    <t>MXN - Ces.temp.activos + Caucion Pasiva</t>
  </si>
  <si>
    <t>MXN - Impuesto a las ganancias</t>
  </si>
  <si>
    <t>MXN - Dividendos a pagar</t>
  </si>
  <si>
    <t>MXN - Obligaciones por Fin de compras</t>
  </si>
  <si>
    <t>MXN - Cuenta de Cuadre Pasivo</t>
  </si>
  <si>
    <t>C13:O73</t>
  </si>
  <si>
    <t>R13:AD73</t>
  </si>
  <si>
    <t>AG13:AS73</t>
  </si>
  <si>
    <t>AV13:BH73</t>
  </si>
  <si>
    <t>BK13:BW73</t>
  </si>
  <si>
    <t>BZ13:CL73</t>
  </si>
  <si>
    <t>CO13:DA73</t>
  </si>
  <si>
    <t>DD13:DP73</t>
  </si>
  <si>
    <t>DS13:EE73</t>
  </si>
  <si>
    <t>EH13:ET73</t>
  </si>
  <si>
    <t>FK13:FW73</t>
  </si>
  <si>
    <t>FZ13:GL73</t>
  </si>
  <si>
    <t>9M</t>
  </si>
  <si>
    <t>C24:F24</t>
  </si>
  <si>
    <t>F25:GC26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</si>
</sst>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%"/>
    <numFmt numFmtId="165" formatCode="d/m/yyyy"/>
    <numFmt numFmtId="166" formatCode="0.000000"/>
    <numFmt numFmtId="167" formatCode="0.00\ %"/>
  </numFmts>
  <fonts count="19" x14ac:knownFonts="1">
    <font>
      <sz val="11"/>
      <color rgb="FF000000"/>
      <name val="Calibri"/>
      <scheme val="minor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i/>
      <sz val="11"/>
      <color rgb="FFFFFFFF"/>
      <name val="Calibri"/>
      <family val="2"/>
    </font>
    <font>
      <i/>
      <sz val="11"/>
      <color theme="1"/>
      <name val="Calibri"/>
      <family val="2"/>
    </font>
    <font>
      <sz val="11"/>
      <color rgb="FFFFFFFF"/>
      <name val="Calibri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  <font>
      <b/>
      <sz val="11"/>
      <color theme="1"/>
      <name val="Stag Sans Book"/>
    </font>
    <font>
      <i/>
      <sz val="11"/>
      <color rgb="FF000000"/>
      <name val="Calibri"/>
      <family val="2"/>
    </font>
    <font>
      <b/>
      <sz val="20"/>
      <color rgb="FFFFFFFF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i/>
      <sz val="10"/>
      <color rgb="FFFFFFFF"/>
      <name val="Calibri"/>
      <family val="2"/>
    </font>
    <font>
      <i/>
      <sz val="10"/>
      <color rgb="FF000000"/>
      <name val="Calibri"/>
      <family val="2"/>
    </font>
    <font>
      <sz val="10"/>
      <color rgb="FFFFFFFF"/>
      <name val="Calibri"/>
      <family val="2"/>
    </font>
    <font>
      <sz val="10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CA545D"/>
        <bgColor rgb="FFCA545D"/>
      </patternFill>
    </fill>
    <fill>
      <patternFill patternType="solid">
        <fgColor rgb="FF4F6128"/>
        <bgColor rgb="FF4F6128"/>
      </patternFill>
    </fill>
    <fill>
      <patternFill patternType="solid">
        <fgColor rgb="FFC2D69B"/>
        <bgColor rgb="FFC2D69B"/>
      </patternFill>
    </fill>
    <fill>
      <patternFill patternType="solid">
        <fgColor rgb="FFEAF1DD"/>
        <bgColor rgb="FFEAF1DD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D8127"/>
        <bgColor rgb="FFFD8127"/>
      </patternFill>
    </fill>
    <fill>
      <patternFill patternType="solid">
        <fgColor rgb="FF75BCE7"/>
        <bgColor rgb="FF75BCE7"/>
      </patternFill>
    </fill>
    <fill>
      <patternFill patternType="solid">
        <fgColor rgb="FFD8D8D8"/>
        <bgColor rgb="FFD8D8D8"/>
      </patternFill>
    </fill>
    <fill>
      <patternFill patternType="solid">
        <fgColor rgb="FFC4D79B"/>
        <bgColor rgb="FFC4D79B"/>
      </patternFill>
    </fill>
    <fill>
      <patternFill patternType="solid">
        <fgColor rgb="FFC9DAF8"/>
        <bgColor rgb="FFC9DAF8"/>
      </patternFill>
    </fill>
    <fill>
      <patternFill patternType="solid">
        <fgColor rgb="FFE36C09"/>
        <bgColor rgb="FFE36C09"/>
      </patternFill>
    </fill>
    <fill>
      <patternFill patternType="solid">
        <fgColor rgb="FFB8CCE4"/>
        <bgColor rgb="FFB8CCE4"/>
      </patternFill>
    </fill>
    <fill>
      <patternFill patternType="solid">
        <fgColor rgb="FF8DB3E2"/>
        <bgColor rgb="FF8DB3E2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/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0" borderId="0" xfId="0" applyFont="1"/>
    <xf numFmtId="0" fontId="5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5" borderId="1" xfId="0" applyFont="1" applyFill="1" applyBorder="1"/>
    <xf numFmtId="0" fontId="4" fillId="5" borderId="1" xfId="0" applyFont="1" applyFill="1" applyBorder="1" applyAlignment="1">
      <alignment horizontal="center"/>
    </xf>
    <xf numFmtId="0" fontId="3" fillId="6" borderId="1" xfId="0" applyFont="1" applyFill="1" applyBorder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/>
    <xf numFmtId="164" fontId="4" fillId="7" borderId="2" xfId="0" applyNumberFormat="1" applyFont="1" applyFill="1" applyBorder="1"/>
    <xf numFmtId="164" fontId="7" fillId="8" borderId="1" xfId="0" applyNumberFormat="1" applyFont="1" applyFill="1" applyBorder="1"/>
    <xf numFmtId="164" fontId="3" fillId="9" borderId="1" xfId="0" applyNumberFormat="1" applyFont="1" applyFill="1" applyBorder="1"/>
    <xf numFmtId="164" fontId="8" fillId="7" borderId="2" xfId="0" applyNumberFormat="1" applyFont="1" applyFill="1" applyBorder="1" applyAlignment="1">
      <alignment horizontal="center"/>
    </xf>
    <xf numFmtId="164" fontId="4" fillId="0" borderId="2" xfId="0" applyNumberFormat="1" applyFont="1" applyBorder="1"/>
    <xf numFmtId="164" fontId="9" fillId="10" borderId="1" xfId="0" applyNumberFormat="1" applyFont="1" applyFill="1" applyBorder="1"/>
    <xf numFmtId="164" fontId="9" fillId="10" borderId="2" xfId="0" applyNumberFormat="1" applyFont="1" applyFill="1" applyBorder="1" applyAlignment="1">
      <alignment horizontal="center"/>
    </xf>
    <xf numFmtId="164" fontId="9" fillId="10" borderId="1" xfId="0" applyNumberFormat="1" applyFont="1" applyFill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10" fontId="10" fillId="7" borderId="2" xfId="0" applyNumberFormat="1" applyFont="1" applyFill="1" applyBorder="1" applyAlignment="1">
      <alignment horizontal="center"/>
    </xf>
    <xf numFmtId="164" fontId="10" fillId="7" borderId="2" xfId="0" applyNumberFormat="1" applyFont="1" applyFill="1" applyBorder="1" applyAlignment="1">
      <alignment horizontal="center"/>
    </xf>
    <xf numFmtId="164" fontId="8" fillId="7" borderId="1" xfId="0" applyNumberFormat="1" applyFont="1" applyFill="1" applyBorder="1" applyAlignment="1">
      <alignment horizontal="center"/>
    </xf>
    <xf numFmtId="0" fontId="4" fillId="7" borderId="1" xfId="0" applyFont="1" applyFill="1" applyBorder="1"/>
    <xf numFmtId="164" fontId="9" fillId="0" borderId="0" xfId="0" applyNumberFormat="1" applyFont="1" applyAlignment="1">
      <alignment horizontal="right"/>
    </xf>
    <xf numFmtId="10" fontId="9" fillId="0" borderId="0" xfId="0" applyNumberFormat="1" applyFont="1" applyAlignment="1">
      <alignment horizontal="right"/>
    </xf>
    <xf numFmtId="164" fontId="4" fillId="7" borderId="1" xfId="0" applyNumberFormat="1" applyFont="1" applyFill="1" applyBorder="1"/>
    <xf numFmtId="10" fontId="4" fillId="7" borderId="1" xfId="0" applyNumberFormat="1" applyFont="1" applyFill="1" applyBorder="1"/>
    <xf numFmtId="164" fontId="4" fillId="0" borderId="3" xfId="0" applyNumberFormat="1" applyFont="1" applyBorder="1"/>
    <xf numFmtId="10" fontId="10" fillId="0" borderId="3" xfId="0" applyNumberFormat="1" applyFont="1" applyBorder="1" applyAlignment="1">
      <alignment horizontal="center"/>
    </xf>
    <xf numFmtId="164" fontId="10" fillId="0" borderId="3" xfId="0" applyNumberFormat="1" applyFont="1" applyBorder="1" applyAlignment="1">
      <alignment horizontal="center"/>
    </xf>
    <xf numFmtId="10" fontId="10" fillId="0" borderId="0" xfId="0" applyNumberFormat="1" applyFont="1" applyAlignment="1">
      <alignment horizontal="center"/>
    </xf>
    <xf numFmtId="164" fontId="10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1" fillId="11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166" fontId="2" fillId="0" borderId="0" xfId="0" applyNumberFormat="1" applyFont="1" applyAlignment="1">
      <alignment horizontal="right"/>
    </xf>
    <xf numFmtId="0" fontId="3" fillId="13" borderId="1" xfId="0" applyFont="1" applyFill="1" applyBorder="1"/>
    <xf numFmtId="0" fontId="14" fillId="10" borderId="1" xfId="0" applyFont="1" applyFill="1" applyBorder="1" applyAlignment="1">
      <alignment horizontal="left"/>
    </xf>
    <xf numFmtId="0" fontId="14" fillId="10" borderId="1" xfId="0" applyFont="1" applyFill="1" applyBorder="1" applyAlignment="1">
      <alignment horizontal="center"/>
    </xf>
    <xf numFmtId="10" fontId="2" fillId="0" borderId="0" xfId="0" applyNumberFormat="1" applyFont="1" applyAlignment="1">
      <alignment horizontal="right"/>
    </xf>
    <xf numFmtId="0" fontId="14" fillId="10" borderId="1" xfId="0" applyFont="1" applyFill="1" applyBorder="1"/>
    <xf numFmtId="0" fontId="14" fillId="0" borderId="0" xfId="0" applyFont="1" applyAlignment="1">
      <alignment horizontal="center"/>
    </xf>
    <xf numFmtId="10" fontId="2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right"/>
    </xf>
    <xf numFmtId="0" fontId="15" fillId="3" borderId="1" xfId="0" applyFont="1" applyFill="1" applyBorder="1" applyAlignment="1">
      <alignment horizontal="left" vertical="center"/>
    </xf>
    <xf numFmtId="0" fontId="16" fillId="4" borderId="1" xfId="0" applyFont="1" applyFill="1" applyBorder="1" applyAlignment="1">
      <alignment horizontal="left" vertical="center"/>
    </xf>
    <xf numFmtId="0" fontId="17" fillId="8" borderId="1" xfId="0" applyFont="1" applyFill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3" fillId="3" borderId="1" xfId="0" applyFont="1" applyFill="1" applyBorder="1"/>
    <xf numFmtId="0" fontId="4" fillId="4" borderId="1" xfId="0" applyFont="1" applyFill="1" applyBorder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165" fontId="14" fillId="0" borderId="0" xfId="0" applyNumberFormat="1" applyFont="1" applyAlignment="1">
      <alignment horizontal="left" vertical="center"/>
    </xf>
    <xf numFmtId="167" fontId="2" fillId="0" borderId="0" xfId="0" applyNumberFormat="1" applyFont="1" applyAlignment="1">
      <alignment horizontal="left" vertical="center"/>
    </xf>
    <xf numFmtId="2" fontId="2" fillId="0" borderId="0" xfId="0" applyNumberFormat="1" applyFont="1" applyAlignment="1">
      <alignment horizontal="left" vertical="center"/>
    </xf>
    <xf numFmtId="0" fontId="3" fillId="15" borderId="1" xfId="0" applyFont="1" applyFill="1" applyBorder="1" applyAlignment="1">
      <alignment horizontal="left" vertical="center"/>
    </xf>
    <xf numFmtId="165" fontId="2" fillId="12" borderId="21" xfId="0" applyNumberFormat="1" applyFont="1" applyFill="1" applyBorder="1" applyAlignment="1">
      <alignment horizontal="left" vertical="center"/>
    </xf>
    <xf numFmtId="165" fontId="2" fillId="12" borderId="22" xfId="0" applyNumberFormat="1" applyFont="1" applyFill="1" applyBorder="1" applyAlignment="1">
      <alignment horizontal="left" vertical="center"/>
    </xf>
    <xf numFmtId="165" fontId="2" fillId="0" borderId="0" xfId="0" applyNumberFormat="1" applyFont="1" applyAlignment="1">
      <alignment horizontal="left" vertical="center"/>
    </xf>
    <xf numFmtId="0" fontId="3" fillId="15" borderId="22" xfId="0" applyFont="1" applyFill="1" applyBorder="1" applyAlignment="1">
      <alignment horizontal="left" vertical="center"/>
    </xf>
    <xf numFmtId="0" fontId="2" fillId="0" borderId="0" xfId="0" applyFont="1" applyAlignment="1">
      <alignment horizontal="left"/>
    </xf>
    <xf numFmtId="9" fontId="4" fillId="0" borderId="0" xfId="0" applyNumberFormat="1" applyFont="1" applyAlignment="1">
      <alignment horizontal="left" vertical="center"/>
    </xf>
    <xf numFmtId="2" fontId="4" fillId="0" borderId="0" xfId="0" applyNumberFormat="1" applyFont="1" applyAlignment="1">
      <alignment horizontal="left"/>
    </xf>
    <xf numFmtId="9" fontId="2" fillId="0" borderId="0" xfId="0" applyNumberFormat="1" applyFont="1" applyAlignment="1">
      <alignment horizontal="left"/>
    </xf>
    <xf numFmtId="4" fontId="2" fillId="0" borderId="1" xfId="0" applyNumberFormat="1" applyFont="1" applyBorder="1" applyAlignment="1">
      <alignment horizontal="left" vertical="center"/>
    </xf>
    <xf numFmtId="10" fontId="2" fillId="0" borderId="1" xfId="0" applyNumberFormat="1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4" fontId="2" fillId="0" borderId="0" xfId="0" applyNumberFormat="1" applyFont="1" applyAlignment="1">
      <alignment horizontal="left" vertical="center"/>
    </xf>
    <xf numFmtId="2" fontId="4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12" fillId="12" borderId="4" xfId="0" applyFont="1" applyFill="1" applyBorder="1" applyAlignment="1">
      <alignment horizontal="center" vertical="center"/>
    </xf>
    <xf numFmtId="0" fontId="13" fillId="0" borderId="5" xfId="0" applyFont="1" applyBorder="1"/>
    <xf numFmtId="0" fontId="13" fillId="0" borderId="6" xfId="0" applyFont="1" applyBorder="1"/>
    <xf numFmtId="0" fontId="13" fillId="0" borderId="7" xfId="0" applyFont="1" applyBorder="1"/>
    <xf numFmtId="0" fontId="0" fillId="0" borderId="0" xfId="0"/>
    <xf numFmtId="0" fontId="13" fillId="0" borderId="8" xfId="0" applyFont="1" applyBorder="1"/>
    <xf numFmtId="0" fontId="13" fillId="0" borderId="9" xfId="0" applyFont="1" applyBorder="1"/>
    <xf numFmtId="0" fontId="13" fillId="0" borderId="10" xfId="0" applyFont="1" applyBorder="1"/>
    <xf numFmtId="0" fontId="13" fillId="0" borderId="11" xfId="0" applyFont="1" applyBorder="1"/>
    <xf numFmtId="0" fontId="14" fillId="12" borderId="4" xfId="0" applyFont="1" applyFill="1" applyBorder="1" applyAlignment="1">
      <alignment vertical="center"/>
    </xf>
    <xf numFmtId="0" fontId="3" fillId="14" borderId="14" xfId="0" applyFont="1" applyFill="1" applyBorder="1" applyAlignment="1">
      <alignment horizontal="left" vertical="center" wrapText="1"/>
    </xf>
    <xf numFmtId="0" fontId="13" fillId="0" borderId="15" xfId="0" applyFont="1" applyBorder="1"/>
    <xf numFmtId="0" fontId="13" fillId="0" borderId="16" xfId="0" applyFont="1" applyBorder="1"/>
    <xf numFmtId="0" fontId="13" fillId="0" borderId="17" xfId="0" applyFont="1" applyBorder="1"/>
    <xf numFmtId="0" fontId="13" fillId="0" borderId="18" xfId="0" applyFont="1" applyBorder="1"/>
    <xf numFmtId="0" fontId="13" fillId="0" borderId="19" xfId="0" applyFont="1" applyBorder="1"/>
    <xf numFmtId="0" fontId="13" fillId="0" borderId="2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114300</xdr:rowOff>
    </xdr:from>
    <xdr:ext cx="2352675" cy="4572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95250</xdr:rowOff>
    </xdr:from>
    <xdr:ext cx="2124075" cy="4572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1</xdr:row>
      <xdr:rowOff>66675</xdr:rowOff>
    </xdr:from>
    <xdr:ext cx="2667000" cy="6191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180975</xdr:rowOff>
    </xdr:from>
    <xdr:ext cx="3257550" cy="638175"/>
    <xdr:pic>
      <xdr:nvPicPr>
        <xdr:cNvPr id="2" name="image2.png" title="Imagen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>
      <selection activeCell="A33" sqref="A33"/>
    </sheetView>
  </sheetViews>
  <sheetFormatPr baseColWidth="10" defaultColWidth="14.453125" defaultRowHeight="15" customHeight="1" x14ac:dyDescent="0.35"/>
  <cols>
    <col min="1" max="1" width="141.26953125" customWidth="1"/>
  </cols>
  <sheetData>
    <row r="1" spans="1:26" ht="14.5" x14ac:dyDescent="0.3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1"/>
      <c r="W1" s="1"/>
      <c r="X1" s="1"/>
      <c r="Y1" s="1"/>
      <c r="Z1" s="1"/>
    </row>
    <row r="2" spans="1:26" ht="14.5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1"/>
      <c r="W2" s="1"/>
      <c r="X2" s="1"/>
      <c r="Y2" s="1"/>
      <c r="Z2" s="1"/>
    </row>
    <row r="3" spans="1:26" ht="14.5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1"/>
      <c r="W3" s="1"/>
      <c r="X3" s="1"/>
      <c r="Y3" s="1"/>
      <c r="Z3" s="1"/>
    </row>
    <row r="4" spans="1:26" ht="14.5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1"/>
      <c r="W4" s="1"/>
      <c r="X4" s="1"/>
      <c r="Y4" s="1"/>
      <c r="Z4" s="1"/>
    </row>
    <row r="5" spans="1:26" ht="14.5" x14ac:dyDescent="0.35">
      <c r="A5" s="3" t="s">
        <v>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1"/>
      <c r="W5" s="1"/>
      <c r="X5" s="1"/>
      <c r="Y5" s="1"/>
      <c r="Z5" s="1"/>
    </row>
    <row r="6" spans="1:26" ht="14.5" x14ac:dyDescent="0.35">
      <c r="A6" s="4" t="s">
        <v>1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1"/>
      <c r="W6" s="1"/>
      <c r="X6" s="1"/>
      <c r="Y6" s="1"/>
      <c r="Z6" s="1"/>
    </row>
    <row r="7" spans="1:26" ht="14.5" x14ac:dyDescent="0.35">
      <c r="A7" s="2" t="s">
        <v>2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1"/>
      <c r="W7" s="1"/>
      <c r="X7" s="1"/>
      <c r="Y7" s="1"/>
      <c r="Z7" s="1"/>
    </row>
    <row r="8" spans="1:26" ht="14.5" x14ac:dyDescent="0.35">
      <c r="A8" s="2" t="s">
        <v>3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1"/>
      <c r="W8" s="1"/>
      <c r="X8" s="1"/>
      <c r="Y8" s="1"/>
      <c r="Z8" s="1"/>
    </row>
    <row r="9" spans="1:26" ht="14.5" x14ac:dyDescent="0.35">
      <c r="A9" s="2" t="s">
        <v>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1"/>
      <c r="W9" s="1"/>
      <c r="X9" s="1"/>
      <c r="Y9" s="1"/>
      <c r="Z9" s="1"/>
    </row>
    <row r="10" spans="1:26" ht="14.5" x14ac:dyDescent="0.35">
      <c r="A10" s="2" t="s">
        <v>5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1"/>
      <c r="W10" s="1"/>
      <c r="X10" s="1"/>
      <c r="Y10" s="1"/>
      <c r="Z10" s="1"/>
    </row>
    <row r="11" spans="1:26" ht="14.5" x14ac:dyDescent="0.35">
      <c r="A11" s="2" t="s">
        <v>6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1"/>
      <c r="W11" s="1"/>
      <c r="X11" s="1"/>
      <c r="Y11" s="1"/>
      <c r="Z11" s="1"/>
    </row>
    <row r="12" spans="1:26" ht="14.5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1"/>
      <c r="W12" s="1"/>
      <c r="X12" s="1"/>
      <c r="Y12" s="1"/>
      <c r="Z12" s="1"/>
    </row>
    <row r="13" spans="1:26" ht="14.5" x14ac:dyDescent="0.35">
      <c r="A13" s="3" t="s">
        <v>7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1"/>
      <c r="W13" s="1"/>
      <c r="X13" s="1"/>
      <c r="Y13" s="1"/>
      <c r="Z13" s="1"/>
    </row>
    <row r="14" spans="1:26" ht="14.5" x14ac:dyDescent="0.35">
      <c r="A14" s="2" t="s">
        <v>8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1"/>
      <c r="W14" s="1"/>
      <c r="X14" s="1"/>
      <c r="Y14" s="1"/>
      <c r="Z14" s="1"/>
    </row>
    <row r="15" spans="1:26" ht="14.5" x14ac:dyDescent="0.35">
      <c r="A15" s="2" t="s">
        <v>9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1"/>
      <c r="W15" s="1"/>
      <c r="X15" s="1"/>
      <c r="Y15" s="1"/>
      <c r="Z15" s="1"/>
    </row>
    <row r="16" spans="1:26" ht="14.5" x14ac:dyDescent="0.35">
      <c r="A16" s="2" t="s">
        <v>10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1"/>
      <c r="W16" s="1"/>
      <c r="X16" s="1"/>
      <c r="Y16" s="1"/>
      <c r="Z16" s="1"/>
    </row>
    <row r="17" spans="1:26" ht="14.5" x14ac:dyDescent="0.35">
      <c r="A17" s="2" t="s">
        <v>11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5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5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5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5"/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8"/>
  <sheetViews>
    <sheetView showGridLines="0" tabSelected="1" workbookViewId="0">
      <selection activeCell="F8" sqref="F8"/>
    </sheetView>
  </sheetViews>
  <sheetFormatPr baseColWidth="10" defaultColWidth="14.453125" defaultRowHeight="15" customHeight="1" x14ac:dyDescent="0.35"/>
  <cols>
    <col min="3" max="3" width="13.08984375" customWidth="1"/>
    <col min="4" max="4" width="12.81640625" customWidth="1"/>
    <col min="6" max="6" width="13" customWidth="1"/>
  </cols>
  <sheetData>
    <row r="1" spans="1:26" ht="13.5" customHeight="1" x14ac:dyDescent="0.35">
      <c r="A1" s="4"/>
      <c r="B1" s="4"/>
      <c r="C1" s="5" t="s">
        <v>12</v>
      </c>
      <c r="D1" s="6" t="s">
        <v>13</v>
      </c>
      <c r="E1" s="6" t="s">
        <v>13</v>
      </c>
      <c r="F1" s="6" t="s">
        <v>13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3.5" customHeight="1" x14ac:dyDescent="0.35">
      <c r="A2" s="4"/>
      <c r="B2" s="4"/>
      <c r="C2" s="7" t="s">
        <v>14</v>
      </c>
      <c r="D2" s="8" t="s">
        <v>15</v>
      </c>
      <c r="E2" s="8" t="s">
        <v>15</v>
      </c>
      <c r="F2" s="8" t="s">
        <v>15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3.5" customHeight="1" x14ac:dyDescent="0.35">
      <c r="A3" s="4"/>
      <c r="B3" s="4"/>
      <c r="C3" s="9"/>
      <c r="D3" s="10" t="s">
        <v>16</v>
      </c>
      <c r="E3" s="10" t="s">
        <v>17</v>
      </c>
      <c r="F3" s="10" t="s">
        <v>18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3.5" customHeight="1" x14ac:dyDescent="0.35">
      <c r="A4" s="4"/>
      <c r="B4" s="4"/>
      <c r="C4" s="11" t="s">
        <v>413</v>
      </c>
      <c r="D4" s="12" t="s">
        <v>19</v>
      </c>
      <c r="E4" s="12"/>
      <c r="F4" s="12" t="s">
        <v>20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3.5" customHeight="1" x14ac:dyDescent="0.35">
      <c r="A5" s="4"/>
      <c r="B5" s="4"/>
      <c r="C5" s="11" t="s">
        <v>414</v>
      </c>
      <c r="D5" s="12" t="s">
        <v>21</v>
      </c>
      <c r="E5" s="12"/>
      <c r="F5" s="12" t="s">
        <v>22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3.5" customHeight="1" x14ac:dyDescent="0.35">
      <c r="A6" s="4"/>
      <c r="B6" s="4"/>
      <c r="C6" s="11" t="s">
        <v>415</v>
      </c>
      <c r="D6" s="12" t="s">
        <v>23</v>
      </c>
      <c r="E6" s="12"/>
      <c r="F6" s="12" t="s">
        <v>24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3.5" customHeight="1" x14ac:dyDescent="0.35">
      <c r="A7" s="4"/>
      <c r="B7" s="4"/>
      <c r="C7" s="11" t="s">
        <v>416</v>
      </c>
      <c r="D7" s="12" t="s">
        <v>470</v>
      </c>
      <c r="E7" s="2"/>
      <c r="F7" s="12" t="s">
        <v>471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3.5" customHeight="1" x14ac:dyDescent="0.35">
      <c r="A8" s="4"/>
      <c r="B8" s="4"/>
      <c r="C8" s="11" t="s">
        <v>25</v>
      </c>
      <c r="D8" s="12" t="s">
        <v>26</v>
      </c>
      <c r="E8" s="2"/>
      <c r="F8" s="12" t="s">
        <v>27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3.5" customHeight="1" x14ac:dyDescent="0.35">
      <c r="A9" s="4"/>
      <c r="B9" s="4"/>
      <c r="C9" s="11" t="s">
        <v>28</v>
      </c>
      <c r="D9" s="12" t="s">
        <v>29</v>
      </c>
      <c r="E9" s="2"/>
      <c r="F9" s="12" t="s">
        <v>30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3.5" customHeight="1" x14ac:dyDescent="0.35">
      <c r="A10" s="4"/>
      <c r="B10" s="4"/>
      <c r="C10" s="11" t="s">
        <v>31</v>
      </c>
      <c r="D10" s="12" t="s">
        <v>32</v>
      </c>
      <c r="E10" s="2"/>
      <c r="F10" s="12" t="s">
        <v>33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" customHeight="1" x14ac:dyDescent="0.35">
      <c r="A11" s="4"/>
      <c r="B11" s="4"/>
      <c r="C11" s="1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" customHeight="1" x14ac:dyDescent="0.3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" customHeight="1" x14ac:dyDescent="0.3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" customHeight="1" x14ac:dyDescent="0.3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" customHeight="1" x14ac:dyDescent="0.3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" customHeight="1" x14ac:dyDescent="0.3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" customHeight="1" x14ac:dyDescent="0.3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" customHeight="1" x14ac:dyDescent="0.3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" customHeight="1" x14ac:dyDescent="0.3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" customHeight="1" x14ac:dyDescent="0.3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" customHeight="1" x14ac:dyDescent="0.3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" customHeight="1" x14ac:dyDescent="0.3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" customHeight="1" x14ac:dyDescent="0.3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" customHeight="1" x14ac:dyDescent="0.3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" customHeight="1" x14ac:dyDescent="0.3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" customHeight="1" x14ac:dyDescent="0.3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" customHeight="1" x14ac:dyDescent="0.3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" customHeight="1" x14ac:dyDescent="0.3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" customHeight="1" x14ac:dyDescent="0.3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" customHeight="1" x14ac:dyDescent="0.3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" customHeight="1" x14ac:dyDescent="0.3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" customHeight="1" x14ac:dyDescent="0.3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" customHeight="1" x14ac:dyDescent="0.3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" customHeight="1" x14ac:dyDescent="0.3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" customHeight="1" x14ac:dyDescent="0.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" customHeight="1" x14ac:dyDescent="0.3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" customHeight="1" x14ac:dyDescent="0.3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" customHeight="1" x14ac:dyDescent="0.3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" customHeight="1" x14ac:dyDescent="0.3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" customHeight="1" x14ac:dyDescent="0.3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" customHeight="1" x14ac:dyDescent="0.3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" customHeight="1" x14ac:dyDescent="0.3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" customHeight="1" x14ac:dyDescent="0.3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" customHeight="1" x14ac:dyDescent="0.3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" customHeight="1" x14ac:dyDescent="0.3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" customHeight="1" x14ac:dyDescent="0.3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" customHeight="1" x14ac:dyDescent="0.3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" customHeight="1" x14ac:dyDescent="0.3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" customHeight="1" x14ac:dyDescent="0.3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" customHeight="1" x14ac:dyDescent="0.3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" customHeight="1" x14ac:dyDescent="0.3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" customHeight="1" x14ac:dyDescent="0.3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" customHeight="1" x14ac:dyDescent="0.3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" customHeight="1" x14ac:dyDescent="0.3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" customHeight="1" x14ac:dyDescent="0.3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" customHeight="1" x14ac:dyDescent="0.3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" customHeight="1" x14ac:dyDescent="0.3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" customHeight="1" x14ac:dyDescent="0.3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" customHeight="1" x14ac:dyDescent="0.3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" customHeight="1" x14ac:dyDescent="0.3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" customHeight="1" x14ac:dyDescent="0.3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" customHeight="1" x14ac:dyDescent="0.3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" customHeight="1" x14ac:dyDescent="0.3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" customHeight="1" x14ac:dyDescent="0.3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" customHeight="1" x14ac:dyDescent="0.3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" customHeight="1" x14ac:dyDescent="0.3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" customHeight="1" x14ac:dyDescent="0.3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" customHeight="1" x14ac:dyDescent="0.3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" customHeight="1" x14ac:dyDescent="0.3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" customHeight="1" x14ac:dyDescent="0.3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" customHeight="1" x14ac:dyDescent="0.3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" customHeight="1" x14ac:dyDescent="0.3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" customHeight="1" x14ac:dyDescent="0.3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" customHeight="1" x14ac:dyDescent="0.3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" customHeight="1" x14ac:dyDescent="0.3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" customHeight="1" x14ac:dyDescent="0.3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" customHeight="1" x14ac:dyDescent="0.3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" customHeight="1" x14ac:dyDescent="0.3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" customHeight="1" x14ac:dyDescent="0.3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" customHeight="1" x14ac:dyDescent="0.3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" customHeight="1" x14ac:dyDescent="0.3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" customHeight="1" x14ac:dyDescent="0.3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" customHeight="1" x14ac:dyDescent="0.3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" customHeight="1" x14ac:dyDescent="0.3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" customHeight="1" x14ac:dyDescent="0.3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" customHeight="1" x14ac:dyDescent="0.3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" customHeight="1" x14ac:dyDescent="0.3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" customHeight="1" x14ac:dyDescent="0.3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" customHeight="1" x14ac:dyDescent="0.3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" customHeight="1" x14ac:dyDescent="0.3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" customHeight="1" x14ac:dyDescent="0.3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" customHeight="1" x14ac:dyDescent="0.3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" customHeight="1" x14ac:dyDescent="0.3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" customHeight="1" x14ac:dyDescent="0.3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" customHeight="1" x14ac:dyDescent="0.3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" customHeight="1" x14ac:dyDescent="0.3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" customHeight="1" x14ac:dyDescent="0.3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" customHeight="1" x14ac:dyDescent="0.3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" customHeight="1" x14ac:dyDescent="0.3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" customHeight="1" x14ac:dyDescent="0.3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" customHeight="1" x14ac:dyDescent="0.3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" customHeight="1" x14ac:dyDescent="0.3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" customHeight="1" x14ac:dyDescent="0.3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" customHeight="1" x14ac:dyDescent="0.3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" customHeight="1" x14ac:dyDescent="0.3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" customHeight="1" x14ac:dyDescent="0.3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" customHeight="1" x14ac:dyDescent="0.3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" customHeight="1" x14ac:dyDescent="0.3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" customHeight="1" x14ac:dyDescent="0.3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" customHeight="1" x14ac:dyDescent="0.3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" customHeight="1" x14ac:dyDescent="0.3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" customHeight="1" x14ac:dyDescent="0.3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" customHeight="1" x14ac:dyDescent="0.3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" customHeight="1" x14ac:dyDescent="0.3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" customHeight="1" x14ac:dyDescent="0.3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" customHeight="1" x14ac:dyDescent="0.3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" customHeight="1" x14ac:dyDescent="0.3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" customHeight="1" x14ac:dyDescent="0.3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" customHeight="1" x14ac:dyDescent="0.3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" customHeight="1" x14ac:dyDescent="0.3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" customHeight="1" x14ac:dyDescent="0.3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" customHeight="1" x14ac:dyDescent="0.3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" customHeight="1" x14ac:dyDescent="0.3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" customHeight="1" x14ac:dyDescent="0.3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" customHeight="1" x14ac:dyDescent="0.3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" customHeight="1" x14ac:dyDescent="0.3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" customHeight="1" x14ac:dyDescent="0.3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" customHeight="1" x14ac:dyDescent="0.3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" customHeight="1" x14ac:dyDescent="0.3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" customHeight="1" x14ac:dyDescent="0.3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" customHeight="1" x14ac:dyDescent="0.3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" customHeight="1" x14ac:dyDescent="0.3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" customHeight="1" x14ac:dyDescent="0.3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" customHeight="1" x14ac:dyDescent="0.3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" customHeight="1" x14ac:dyDescent="0.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" customHeight="1" x14ac:dyDescent="0.3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" customHeight="1" x14ac:dyDescent="0.3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" customHeight="1" x14ac:dyDescent="0.3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" customHeight="1" x14ac:dyDescent="0.3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" customHeight="1" x14ac:dyDescent="0.3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" customHeight="1" x14ac:dyDescent="0.3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" customHeight="1" x14ac:dyDescent="0.3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" customHeight="1" x14ac:dyDescent="0.3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" customHeight="1" x14ac:dyDescent="0.3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" customHeight="1" x14ac:dyDescent="0.3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" customHeight="1" x14ac:dyDescent="0.3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" customHeight="1" x14ac:dyDescent="0.3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" customHeight="1" x14ac:dyDescent="0.3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" customHeight="1" x14ac:dyDescent="0.3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" customHeight="1" x14ac:dyDescent="0.3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" customHeight="1" x14ac:dyDescent="0.3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" customHeight="1" x14ac:dyDescent="0.3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" customHeight="1" x14ac:dyDescent="0.3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" customHeight="1" x14ac:dyDescent="0.3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" customHeight="1" x14ac:dyDescent="0.3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" customHeight="1" x14ac:dyDescent="0.3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" customHeight="1" x14ac:dyDescent="0.3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" customHeight="1" x14ac:dyDescent="0.3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" customHeight="1" x14ac:dyDescent="0.3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" customHeight="1" x14ac:dyDescent="0.3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" customHeight="1" x14ac:dyDescent="0.3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" customHeight="1" x14ac:dyDescent="0.3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" customHeight="1" x14ac:dyDescent="0.3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" customHeight="1" x14ac:dyDescent="0.3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" customHeight="1" x14ac:dyDescent="0.3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" customHeight="1" x14ac:dyDescent="0.3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" customHeight="1" x14ac:dyDescent="0.3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" customHeight="1" x14ac:dyDescent="0.3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" customHeight="1" x14ac:dyDescent="0.3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" customHeight="1" x14ac:dyDescent="0.3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" customHeight="1" x14ac:dyDescent="0.3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" customHeight="1" x14ac:dyDescent="0.3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" customHeight="1" x14ac:dyDescent="0.3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" customHeight="1" x14ac:dyDescent="0.3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" customHeight="1" x14ac:dyDescent="0.3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" customHeight="1" x14ac:dyDescent="0.3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" customHeight="1" x14ac:dyDescent="0.3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" customHeight="1" x14ac:dyDescent="0.3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" customHeight="1" x14ac:dyDescent="0.3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" customHeight="1" x14ac:dyDescent="0.3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" customHeight="1" x14ac:dyDescent="0.3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" customHeight="1" x14ac:dyDescent="0.3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" customHeight="1" x14ac:dyDescent="0.3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" customHeight="1" x14ac:dyDescent="0.3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" customHeight="1" x14ac:dyDescent="0.3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" customHeight="1" x14ac:dyDescent="0.3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" customHeight="1" x14ac:dyDescent="0.3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" customHeight="1" x14ac:dyDescent="0.3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" customHeight="1" x14ac:dyDescent="0.3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" customHeight="1" x14ac:dyDescent="0.3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" customHeight="1" x14ac:dyDescent="0.3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" customHeight="1" x14ac:dyDescent="0.3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" customHeight="1" x14ac:dyDescent="0.3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" customHeight="1" x14ac:dyDescent="0.3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" customHeight="1" x14ac:dyDescent="0.3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" customHeight="1" x14ac:dyDescent="0.3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" customHeight="1" x14ac:dyDescent="0.3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" customHeight="1" x14ac:dyDescent="0.3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" customHeight="1" x14ac:dyDescent="0.3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" customHeight="1" x14ac:dyDescent="0.3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" customHeight="1" x14ac:dyDescent="0.3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" customHeight="1" x14ac:dyDescent="0.3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" customHeight="1" x14ac:dyDescent="0.3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" customHeight="1" x14ac:dyDescent="0.3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" customHeight="1" x14ac:dyDescent="0.3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" customHeight="1" x14ac:dyDescent="0.3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" customHeight="1" x14ac:dyDescent="0.3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" customHeight="1" x14ac:dyDescent="0.3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" customHeight="1" x14ac:dyDescent="0.3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" customHeight="1" x14ac:dyDescent="0.3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" customHeight="1" x14ac:dyDescent="0.3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" customHeight="1" x14ac:dyDescent="0.3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" customHeight="1" x14ac:dyDescent="0.3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" customHeight="1" x14ac:dyDescent="0.3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" customHeight="1" x14ac:dyDescent="0.3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" customHeight="1" x14ac:dyDescent="0.3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" customHeight="1" x14ac:dyDescent="0.3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" customHeight="1" x14ac:dyDescent="0.3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3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3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3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3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3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3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3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3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3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3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3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3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3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3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3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3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3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3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3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3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3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3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3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3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3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3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3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3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3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3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3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3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3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3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3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3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3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3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3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3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3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3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3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3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3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3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3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3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3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3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3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3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3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3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3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3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3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3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3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3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3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3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3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3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3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3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3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3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3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3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3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3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3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3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3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3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3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3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3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3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3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3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3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3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3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3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3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3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3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3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3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3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3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3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3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3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3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3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3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3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3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3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3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3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3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3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3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3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3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3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3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3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3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3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3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3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3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3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3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3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3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3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3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3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3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3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3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3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3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3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3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3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3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3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3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3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3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3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3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3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3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3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3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3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3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3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3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3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3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3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3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3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3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3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3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3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3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3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3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3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3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3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3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3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3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3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3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3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3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3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3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3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3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3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3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3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3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3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3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3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3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3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3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3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3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3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3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3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3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3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3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3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3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3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3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3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3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3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3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3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3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3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3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3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3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3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3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3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3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3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3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3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3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3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3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3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3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3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3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3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3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3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3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3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3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3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3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3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3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3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3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3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3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3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3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3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3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3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3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3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3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3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3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3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3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3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3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3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3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3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3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3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3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3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3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3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3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3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3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3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3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3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3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3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3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3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3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3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3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3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3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3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3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3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3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3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3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3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3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3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3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3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3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3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3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3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3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3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3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3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3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3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3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3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3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3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3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3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3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3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3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3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3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3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3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3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3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3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3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3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3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3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3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3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3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3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3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3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3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3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3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3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3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3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3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3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3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3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3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3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3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3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3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3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3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3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3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3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3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3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3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3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3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3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3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3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3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3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3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3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3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3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3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3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3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3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3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3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3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3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3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3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3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3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3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3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3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3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3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3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3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3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3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3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3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3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3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3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3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3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3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3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3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3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3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3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3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3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3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3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3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3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3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3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3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3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3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3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3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3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3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3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3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3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3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3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3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3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3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3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3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3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3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3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3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3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3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3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3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3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3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3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3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3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3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3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3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3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3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3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3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3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3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3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3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3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3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3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3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3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3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3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3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3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3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3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3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3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3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3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3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3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3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3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3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3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3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3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3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3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3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3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3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3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3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3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3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3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3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3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3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3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3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3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3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3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3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3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3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3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3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3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3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3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3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3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3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3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3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3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3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3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3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3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3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3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3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3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3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3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3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3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3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3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3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3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3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3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3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3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3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3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3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3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3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3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3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3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3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3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3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3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3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3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3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3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3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3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3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3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3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3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3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3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3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3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3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3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3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3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3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3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3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3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3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3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3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3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3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3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3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3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3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3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3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3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3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3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3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3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3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3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3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3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3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3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3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3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3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3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3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3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3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3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3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3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3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3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3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3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3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3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3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3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3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3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3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3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3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3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3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3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3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3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3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3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3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3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3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3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3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3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3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3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3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3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3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3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3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3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3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3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3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3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3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3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3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3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3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3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3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3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3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3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3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3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3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3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3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3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3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3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3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3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3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3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3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3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3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3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3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3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3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3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3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3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3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3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3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3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3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3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3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3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3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3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3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3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3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3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3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3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3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3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3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3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3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3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3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3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3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3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3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3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3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3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3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3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3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3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3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3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3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3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3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3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3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3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3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3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3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3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3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3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3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3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3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3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3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3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3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3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3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3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3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3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3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3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3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3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3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3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3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3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3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3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3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3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3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3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3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3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3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3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3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3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3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3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3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3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3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3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3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3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3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3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3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3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3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3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3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3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3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3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3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3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3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3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3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3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3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3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3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3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3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3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3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3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3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3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3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3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3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3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3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3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3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3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3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3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3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3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</sheetData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S38"/>
  <sheetViews>
    <sheetView showGridLines="0" topLeftCell="A11" zoomScale="47" workbookViewId="0">
      <selection activeCell="J50" sqref="J50"/>
    </sheetView>
  </sheetViews>
  <sheetFormatPr baseColWidth="10" defaultColWidth="14.453125" defaultRowHeight="15" customHeight="1" x14ac:dyDescent="0.35"/>
  <cols>
    <col min="2" max="2" width="11.7265625" customWidth="1"/>
    <col min="3" max="4" width="14.54296875" customWidth="1"/>
    <col min="5" max="7" width="15.7265625" customWidth="1"/>
    <col min="8" max="8" width="15.08984375" customWidth="1"/>
    <col min="9" max="10" width="15.7265625" customWidth="1"/>
    <col min="11" max="11" width="16.7265625" customWidth="1"/>
    <col min="12" max="15" width="16.81640625" customWidth="1"/>
    <col min="16" max="16" width="16.7265625" customWidth="1"/>
    <col min="17" max="17" width="16.81640625" customWidth="1"/>
    <col min="18" max="18" width="18" customWidth="1"/>
    <col min="19" max="19" width="16.7265625" customWidth="1"/>
    <col min="20" max="23" width="15.08984375" customWidth="1"/>
    <col min="24" max="24" width="11.453125" customWidth="1"/>
    <col min="25" max="25" width="12.08984375" customWidth="1"/>
    <col min="26" max="29" width="11.7265625" customWidth="1"/>
    <col min="30" max="161" width="9.453125" customWidth="1"/>
  </cols>
  <sheetData>
    <row r="1" spans="1:305" ht="15.75" customHeight="1" x14ac:dyDescent="0.35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</row>
    <row r="2" spans="1:305" ht="15.75" customHeight="1" x14ac:dyDescent="0.3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  <c r="DO2" s="14"/>
      <c r="DP2" s="14"/>
      <c r="DQ2" s="14"/>
      <c r="DR2" s="14"/>
      <c r="DS2" s="14"/>
      <c r="DT2" s="14"/>
      <c r="DU2" s="14"/>
      <c r="DV2" s="14"/>
      <c r="DW2" s="14"/>
      <c r="DX2" s="14"/>
      <c r="DY2" s="14"/>
      <c r="DZ2" s="14"/>
      <c r="EA2" s="14"/>
      <c r="EB2" s="14"/>
      <c r="EC2" s="14"/>
      <c r="ED2" s="14"/>
      <c r="EE2" s="14"/>
      <c r="EF2" s="14"/>
      <c r="EG2" s="14"/>
      <c r="EH2" s="14"/>
      <c r="EI2" s="14"/>
      <c r="EJ2" s="14"/>
      <c r="EK2" s="14"/>
      <c r="EL2" s="14"/>
      <c r="EM2" s="14"/>
      <c r="EN2" s="14"/>
      <c r="EO2" s="14"/>
      <c r="EP2" s="14"/>
      <c r="EQ2" s="14"/>
      <c r="ER2" s="14"/>
      <c r="ES2" s="14"/>
      <c r="ET2" s="14"/>
      <c r="EU2" s="14"/>
      <c r="EV2" s="14"/>
      <c r="EW2" s="14"/>
      <c r="EX2" s="14"/>
      <c r="EY2" s="14"/>
      <c r="EZ2" s="14"/>
      <c r="FA2" s="14"/>
      <c r="FB2" s="14"/>
      <c r="FC2" s="14"/>
      <c r="FD2" s="14"/>
      <c r="FE2" s="1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</row>
    <row r="3" spans="1:305" ht="15.75" customHeight="1" x14ac:dyDescent="0.3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  <c r="EY3" s="14"/>
      <c r="EZ3" s="14"/>
      <c r="FA3" s="14"/>
      <c r="FB3" s="14"/>
      <c r="FC3" s="14"/>
      <c r="FD3" s="14"/>
      <c r="FE3" s="1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</row>
    <row r="4" spans="1:305" ht="14.5" x14ac:dyDescent="0.35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  <c r="EY4" s="14"/>
      <c r="EZ4" s="14"/>
      <c r="FA4" s="14"/>
      <c r="FB4" s="14"/>
      <c r="FC4" s="14"/>
      <c r="FD4" s="14"/>
      <c r="FE4" s="1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4"/>
      <c r="JR4" s="4"/>
      <c r="JS4" s="4"/>
      <c r="JT4" s="4"/>
      <c r="JU4" s="4"/>
      <c r="JV4" s="4"/>
      <c r="JW4" s="4"/>
      <c r="JX4" s="4"/>
      <c r="JY4" s="4"/>
      <c r="JZ4" s="4"/>
      <c r="KA4" s="4"/>
      <c r="KB4" s="4"/>
      <c r="KC4" s="4"/>
      <c r="KD4" s="4"/>
      <c r="KE4" s="4"/>
      <c r="KF4" s="4"/>
      <c r="KG4" s="4"/>
      <c r="KH4" s="4"/>
      <c r="KI4" s="4"/>
      <c r="KJ4" s="4"/>
      <c r="KK4" s="4"/>
      <c r="KL4" s="4"/>
      <c r="KM4" s="4"/>
      <c r="KN4" s="4"/>
      <c r="KO4" s="4"/>
      <c r="KP4" s="4"/>
      <c r="KQ4" s="4"/>
      <c r="KR4" s="4"/>
      <c r="KS4" s="4"/>
    </row>
    <row r="5" spans="1:305" ht="12" customHeight="1" x14ac:dyDescent="0.3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4"/>
      <c r="ED5" s="14"/>
      <c r="EE5" s="14"/>
      <c r="EF5" s="14"/>
      <c r="EG5" s="14"/>
      <c r="EH5" s="14"/>
      <c r="EI5" s="14"/>
      <c r="EJ5" s="14"/>
      <c r="EK5" s="14"/>
      <c r="EL5" s="14"/>
      <c r="EM5" s="14"/>
      <c r="EN5" s="14"/>
      <c r="EO5" s="14"/>
      <c r="EP5" s="14"/>
      <c r="EQ5" s="14"/>
      <c r="ER5" s="14"/>
      <c r="ES5" s="14"/>
      <c r="ET5" s="14"/>
      <c r="EU5" s="14"/>
      <c r="EV5" s="14"/>
      <c r="EW5" s="14"/>
      <c r="EX5" s="14"/>
      <c r="EY5" s="14"/>
      <c r="EZ5" s="14"/>
      <c r="FA5" s="14"/>
      <c r="FB5" s="14"/>
      <c r="FC5" s="14"/>
      <c r="FD5" s="14"/>
      <c r="FE5" s="1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  <c r="JH5" s="4"/>
      <c r="JI5" s="4"/>
      <c r="JJ5" s="4"/>
      <c r="JK5" s="4"/>
      <c r="JL5" s="4"/>
      <c r="JM5" s="4"/>
      <c r="JN5" s="4"/>
      <c r="JO5" s="4"/>
      <c r="JP5" s="4"/>
      <c r="JQ5" s="4"/>
      <c r="JR5" s="4"/>
      <c r="JS5" s="4"/>
      <c r="JT5" s="4"/>
      <c r="JU5" s="4"/>
      <c r="JV5" s="4"/>
      <c r="JW5" s="4"/>
      <c r="JX5" s="4"/>
      <c r="JY5" s="4"/>
      <c r="JZ5" s="4"/>
      <c r="KA5" s="4"/>
      <c r="KB5" s="4"/>
      <c r="KC5" s="4"/>
      <c r="KD5" s="4"/>
      <c r="KE5" s="4"/>
      <c r="KF5" s="4"/>
      <c r="KG5" s="4"/>
      <c r="KH5" s="4"/>
      <c r="KI5" s="4"/>
      <c r="KJ5" s="4"/>
      <c r="KK5" s="4"/>
      <c r="KL5" s="4"/>
      <c r="KM5" s="4"/>
      <c r="KN5" s="4"/>
      <c r="KO5" s="4"/>
      <c r="KP5" s="4"/>
      <c r="KQ5" s="4"/>
      <c r="KR5" s="4"/>
      <c r="KS5" s="4"/>
    </row>
    <row r="6" spans="1:305" ht="12" customHeight="1" x14ac:dyDescent="0.35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  <c r="DP6" s="14"/>
      <c r="DQ6" s="14"/>
      <c r="DR6" s="14"/>
      <c r="DS6" s="14"/>
      <c r="DT6" s="14"/>
      <c r="DU6" s="14"/>
      <c r="DV6" s="14"/>
      <c r="DW6" s="14"/>
      <c r="DX6" s="14"/>
      <c r="DY6" s="14"/>
      <c r="DZ6" s="14"/>
      <c r="EA6" s="14"/>
      <c r="EB6" s="14"/>
      <c r="EC6" s="14"/>
      <c r="ED6" s="14"/>
      <c r="EE6" s="14"/>
      <c r="EF6" s="14"/>
      <c r="EG6" s="14"/>
      <c r="EH6" s="14"/>
      <c r="EI6" s="14"/>
      <c r="EJ6" s="14"/>
      <c r="EK6" s="14"/>
      <c r="EL6" s="14"/>
      <c r="EM6" s="14"/>
      <c r="EN6" s="14"/>
      <c r="EO6" s="14"/>
      <c r="EP6" s="14"/>
      <c r="EQ6" s="14"/>
      <c r="ER6" s="14"/>
      <c r="ES6" s="14"/>
      <c r="ET6" s="14"/>
      <c r="EU6" s="14"/>
      <c r="EV6" s="14"/>
      <c r="EW6" s="14"/>
      <c r="EX6" s="14"/>
      <c r="EY6" s="14"/>
      <c r="EZ6" s="14"/>
      <c r="FA6" s="14"/>
      <c r="FB6" s="14"/>
      <c r="FC6" s="14"/>
      <c r="FD6" s="14"/>
      <c r="FE6" s="1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</row>
    <row r="7" spans="1:305" ht="12" customHeight="1" x14ac:dyDescent="0.35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N7" s="14"/>
      <c r="DO7" s="14"/>
      <c r="DP7" s="14"/>
      <c r="DQ7" s="14"/>
      <c r="DR7" s="14"/>
      <c r="DS7" s="14"/>
      <c r="DT7" s="14"/>
      <c r="DU7" s="14"/>
      <c r="DV7" s="14"/>
      <c r="DW7" s="14"/>
      <c r="DX7" s="14"/>
      <c r="DY7" s="14"/>
      <c r="DZ7" s="14"/>
      <c r="EA7" s="14"/>
      <c r="EB7" s="14"/>
      <c r="EC7" s="14"/>
      <c r="ED7" s="14"/>
      <c r="EE7" s="14"/>
      <c r="EF7" s="14"/>
      <c r="EG7" s="14"/>
      <c r="EH7" s="14"/>
      <c r="EI7" s="14"/>
      <c r="EJ7" s="14"/>
      <c r="EK7" s="14"/>
      <c r="EL7" s="14"/>
      <c r="EM7" s="14"/>
      <c r="EN7" s="14"/>
      <c r="EO7" s="14"/>
      <c r="EP7" s="14"/>
      <c r="EQ7" s="14"/>
      <c r="ER7" s="14"/>
      <c r="ES7" s="14"/>
      <c r="ET7" s="14"/>
      <c r="EU7" s="14"/>
      <c r="EV7" s="14"/>
      <c r="EW7" s="14"/>
      <c r="EX7" s="14"/>
      <c r="EY7" s="14"/>
      <c r="EZ7" s="14"/>
      <c r="FA7" s="14"/>
      <c r="FB7" s="14"/>
      <c r="FC7" s="14"/>
      <c r="FD7" s="14"/>
      <c r="FE7" s="1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  <c r="II7" s="4"/>
      <c r="IJ7" s="4"/>
      <c r="IK7" s="4"/>
      <c r="IL7" s="4"/>
      <c r="IM7" s="4"/>
      <c r="IN7" s="4"/>
      <c r="IO7" s="4"/>
      <c r="IP7" s="4"/>
      <c r="IQ7" s="4"/>
      <c r="IR7" s="4"/>
      <c r="IS7" s="4"/>
      <c r="IT7" s="4"/>
      <c r="IU7" s="4"/>
      <c r="IV7" s="4"/>
      <c r="IW7" s="4"/>
      <c r="IX7" s="4"/>
      <c r="IY7" s="4"/>
      <c r="IZ7" s="4"/>
      <c r="JA7" s="4"/>
      <c r="JB7" s="4"/>
      <c r="JC7" s="4"/>
      <c r="JD7" s="4"/>
      <c r="JE7" s="4"/>
      <c r="JF7" s="4"/>
      <c r="JG7" s="4"/>
      <c r="JH7" s="4"/>
      <c r="JI7" s="4"/>
      <c r="JJ7" s="4"/>
      <c r="JK7" s="4"/>
      <c r="JL7" s="4"/>
      <c r="JM7" s="4"/>
      <c r="JN7" s="4"/>
      <c r="JO7" s="4"/>
      <c r="JP7" s="4"/>
      <c r="JQ7" s="4"/>
      <c r="JR7" s="4"/>
      <c r="JS7" s="4"/>
      <c r="JT7" s="4"/>
      <c r="JU7" s="4"/>
      <c r="JV7" s="4"/>
      <c r="JW7" s="4"/>
      <c r="JX7" s="4"/>
      <c r="JY7" s="4"/>
      <c r="JZ7" s="4"/>
      <c r="KA7" s="4"/>
      <c r="KB7" s="4"/>
      <c r="KC7" s="4"/>
      <c r="KD7" s="4"/>
      <c r="KE7" s="4"/>
      <c r="KF7" s="4"/>
      <c r="KG7" s="4"/>
      <c r="KH7" s="4"/>
      <c r="KI7" s="4"/>
      <c r="KJ7" s="4"/>
      <c r="KK7" s="4"/>
      <c r="KL7" s="4"/>
      <c r="KM7" s="4"/>
      <c r="KN7" s="4"/>
      <c r="KO7" s="4"/>
      <c r="KP7" s="4"/>
      <c r="KQ7" s="4"/>
      <c r="KR7" s="4"/>
      <c r="KS7" s="4"/>
    </row>
    <row r="8" spans="1:305" ht="12" customHeight="1" x14ac:dyDescent="0.35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  <c r="EQ8" s="14"/>
      <c r="ER8" s="14"/>
      <c r="ES8" s="14"/>
      <c r="ET8" s="14"/>
      <c r="EU8" s="14"/>
      <c r="EV8" s="14"/>
      <c r="EW8" s="14"/>
      <c r="EX8" s="14"/>
      <c r="EY8" s="14"/>
      <c r="EZ8" s="14"/>
      <c r="FA8" s="14"/>
      <c r="FB8" s="14"/>
      <c r="FC8" s="14"/>
      <c r="FD8" s="14"/>
      <c r="FE8" s="1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  <c r="IW8" s="4"/>
      <c r="IX8" s="4"/>
      <c r="IY8" s="4"/>
      <c r="IZ8" s="4"/>
      <c r="JA8" s="4"/>
      <c r="JB8" s="4"/>
      <c r="JC8" s="4"/>
      <c r="JD8" s="4"/>
      <c r="JE8" s="4"/>
      <c r="JF8" s="4"/>
      <c r="JG8" s="4"/>
      <c r="JH8" s="4"/>
      <c r="JI8" s="4"/>
      <c r="JJ8" s="4"/>
      <c r="JK8" s="4"/>
      <c r="JL8" s="4"/>
      <c r="JM8" s="4"/>
      <c r="JN8" s="4"/>
      <c r="JO8" s="4"/>
      <c r="JP8" s="4"/>
      <c r="JQ8" s="4"/>
      <c r="JR8" s="4"/>
      <c r="JS8" s="4"/>
      <c r="JT8" s="4"/>
      <c r="JU8" s="4"/>
      <c r="JV8" s="4"/>
      <c r="JW8" s="4"/>
      <c r="JX8" s="4"/>
      <c r="JY8" s="4"/>
      <c r="JZ8" s="4"/>
      <c r="KA8" s="4"/>
      <c r="KB8" s="4"/>
      <c r="KC8" s="4"/>
      <c r="KD8" s="4"/>
      <c r="KE8" s="4"/>
      <c r="KF8" s="4"/>
      <c r="KG8" s="4"/>
      <c r="KH8" s="4"/>
      <c r="KI8" s="4"/>
      <c r="KJ8" s="4"/>
      <c r="KK8" s="4"/>
      <c r="KL8" s="4"/>
      <c r="KM8" s="4"/>
      <c r="KN8" s="4"/>
      <c r="KO8" s="4"/>
      <c r="KP8" s="4"/>
      <c r="KQ8" s="4"/>
      <c r="KR8" s="4"/>
      <c r="KS8" s="4"/>
    </row>
    <row r="9" spans="1:305" ht="12" customHeight="1" x14ac:dyDescent="0.35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4"/>
      <c r="EJ9" s="14"/>
      <c r="EK9" s="14"/>
      <c r="EL9" s="14"/>
      <c r="EM9" s="14"/>
      <c r="EN9" s="14"/>
      <c r="EO9" s="14"/>
      <c r="EP9" s="14"/>
      <c r="EQ9" s="14"/>
      <c r="ER9" s="14"/>
      <c r="ES9" s="14"/>
      <c r="ET9" s="14"/>
      <c r="EU9" s="14"/>
      <c r="EV9" s="14"/>
      <c r="EW9" s="14"/>
      <c r="EX9" s="14"/>
      <c r="EY9" s="14"/>
      <c r="EZ9" s="14"/>
      <c r="FA9" s="14"/>
      <c r="FB9" s="14"/>
      <c r="FC9" s="14"/>
      <c r="FD9" s="14"/>
      <c r="FE9" s="1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  <c r="IW9" s="4"/>
      <c r="IX9" s="4"/>
      <c r="IY9" s="4"/>
      <c r="IZ9" s="4"/>
      <c r="JA9" s="4"/>
      <c r="JB9" s="4"/>
      <c r="JC9" s="4"/>
      <c r="JD9" s="4"/>
      <c r="JE9" s="4"/>
      <c r="JF9" s="4"/>
      <c r="JG9" s="4"/>
      <c r="JH9" s="4"/>
      <c r="JI9" s="4"/>
      <c r="JJ9" s="4"/>
      <c r="JK9" s="4"/>
      <c r="JL9" s="4"/>
      <c r="JM9" s="4"/>
      <c r="JN9" s="4"/>
      <c r="JO9" s="4"/>
      <c r="JP9" s="4"/>
      <c r="JQ9" s="4"/>
      <c r="JR9" s="4"/>
      <c r="JS9" s="4"/>
      <c r="JT9" s="4"/>
      <c r="JU9" s="4"/>
      <c r="JV9" s="4"/>
      <c r="JW9" s="4"/>
      <c r="JX9" s="4"/>
      <c r="JY9" s="4"/>
      <c r="JZ9" s="4"/>
      <c r="KA9" s="4"/>
      <c r="KB9" s="4"/>
      <c r="KC9" s="4"/>
      <c r="KD9" s="4"/>
      <c r="KE9" s="4"/>
      <c r="KF9" s="4"/>
      <c r="KG9" s="4"/>
      <c r="KH9" s="4"/>
      <c r="KI9" s="4"/>
      <c r="KJ9" s="4"/>
      <c r="KK9" s="4"/>
      <c r="KL9" s="4"/>
      <c r="KM9" s="4"/>
      <c r="KN9" s="4"/>
      <c r="KO9" s="4"/>
      <c r="KP9" s="4"/>
      <c r="KQ9" s="4"/>
      <c r="KR9" s="4"/>
      <c r="KS9" s="4"/>
    </row>
    <row r="10" spans="1:305" ht="12" customHeight="1" x14ac:dyDescent="0.3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14"/>
      <c r="DL10" s="14"/>
      <c r="DM10" s="14"/>
      <c r="DN10" s="14"/>
      <c r="DO10" s="14"/>
      <c r="DP10" s="14"/>
      <c r="DQ10" s="14"/>
      <c r="DR10" s="14"/>
      <c r="DS10" s="14"/>
      <c r="DT10" s="14"/>
      <c r="DU10" s="14"/>
      <c r="DV10" s="14"/>
      <c r="DW10" s="14"/>
      <c r="DX10" s="14"/>
      <c r="DY10" s="14"/>
      <c r="DZ10" s="14"/>
      <c r="EA10" s="14"/>
      <c r="EB10" s="14"/>
      <c r="EC10" s="14"/>
      <c r="ED10" s="14"/>
      <c r="EE10" s="14"/>
      <c r="EF10" s="14"/>
      <c r="EG10" s="14"/>
      <c r="EH10" s="14"/>
      <c r="EI10" s="14"/>
      <c r="EJ10" s="14"/>
      <c r="EK10" s="14"/>
      <c r="EL10" s="14"/>
      <c r="EM10" s="14"/>
      <c r="EN10" s="14"/>
      <c r="EO10" s="14"/>
      <c r="EP10" s="14"/>
      <c r="EQ10" s="14"/>
      <c r="ER10" s="14"/>
      <c r="ES10" s="14"/>
      <c r="ET10" s="14"/>
      <c r="EU10" s="14"/>
      <c r="EV10" s="14"/>
      <c r="EW10" s="14"/>
      <c r="EX10" s="14"/>
      <c r="EY10" s="14"/>
      <c r="EZ10" s="14"/>
      <c r="FA10" s="14"/>
      <c r="FB10" s="14"/>
      <c r="FC10" s="14"/>
      <c r="FD10" s="14"/>
      <c r="FE10" s="1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  <c r="IW10" s="4"/>
      <c r="IX10" s="4"/>
      <c r="IY10" s="4"/>
      <c r="IZ10" s="4"/>
      <c r="JA10" s="4"/>
      <c r="JB10" s="4"/>
      <c r="JC10" s="4"/>
      <c r="JD10" s="4"/>
      <c r="JE10" s="4"/>
      <c r="JF10" s="4"/>
      <c r="JG10" s="4"/>
      <c r="JH10" s="4"/>
      <c r="JI10" s="4"/>
      <c r="JJ10" s="4"/>
      <c r="JK10" s="4"/>
      <c r="JL10" s="4"/>
      <c r="JM10" s="4"/>
      <c r="JN10" s="4"/>
      <c r="JO10" s="4"/>
      <c r="JP10" s="4"/>
      <c r="JQ10" s="4"/>
      <c r="JR10" s="4"/>
      <c r="JS10" s="4"/>
      <c r="JT10" s="4"/>
      <c r="JU10" s="4"/>
      <c r="JV10" s="4"/>
      <c r="JW10" s="4"/>
      <c r="JX10" s="4"/>
      <c r="JY10" s="4"/>
      <c r="JZ10" s="4"/>
      <c r="KA10" s="4"/>
      <c r="KB10" s="4"/>
      <c r="KC10" s="4"/>
      <c r="KD10" s="4"/>
      <c r="KE10" s="4"/>
      <c r="KF10" s="4"/>
      <c r="KG10" s="4"/>
      <c r="KH10" s="4"/>
      <c r="KI10" s="4"/>
      <c r="KJ10" s="4"/>
      <c r="KK10" s="4"/>
      <c r="KL10" s="4"/>
      <c r="KM10" s="4"/>
      <c r="KN10" s="4"/>
      <c r="KO10" s="4"/>
      <c r="KP10" s="4"/>
      <c r="KQ10" s="4"/>
      <c r="KR10" s="4"/>
      <c r="KS10" s="4"/>
    </row>
    <row r="11" spans="1:305" ht="14.5" x14ac:dyDescent="0.35">
      <c r="A11" s="14"/>
      <c r="B11" s="14"/>
      <c r="C11" s="14"/>
      <c r="D11" s="14"/>
      <c r="E11" s="14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14"/>
      <c r="DK11" s="14"/>
      <c r="DL11" s="14"/>
      <c r="DM11" s="14"/>
      <c r="DN11" s="14"/>
      <c r="DO11" s="14"/>
      <c r="DP11" s="14"/>
      <c r="DQ11" s="14"/>
      <c r="DR11" s="14"/>
      <c r="DS11" s="14"/>
      <c r="DT11" s="14"/>
      <c r="DU11" s="14"/>
      <c r="DV11" s="14"/>
      <c r="DW11" s="14"/>
      <c r="DX11" s="14"/>
      <c r="DY11" s="14"/>
      <c r="DZ11" s="14"/>
      <c r="EA11" s="14"/>
      <c r="EB11" s="14"/>
      <c r="EC11" s="14"/>
      <c r="ED11" s="14"/>
      <c r="EE11" s="14"/>
      <c r="EF11" s="14"/>
      <c r="EG11" s="14"/>
      <c r="EH11" s="14"/>
      <c r="EI11" s="14"/>
      <c r="EJ11" s="14"/>
      <c r="EK11" s="14"/>
      <c r="EL11" s="14"/>
      <c r="EM11" s="14"/>
      <c r="EN11" s="14"/>
      <c r="EO11" s="14"/>
      <c r="EP11" s="14"/>
      <c r="EQ11" s="14"/>
      <c r="ER11" s="14"/>
      <c r="ES11" s="14"/>
      <c r="ET11" s="14"/>
      <c r="EU11" s="14"/>
      <c r="EV11" s="14"/>
      <c r="EW11" s="14"/>
      <c r="EX11" s="14"/>
      <c r="EY11" s="14"/>
      <c r="EZ11" s="14"/>
      <c r="FA11" s="14"/>
      <c r="FB11" s="14"/>
      <c r="FC11" s="14"/>
      <c r="FD11" s="14"/>
      <c r="FE11" s="1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  <c r="IX11" s="4"/>
      <c r="IY11" s="4"/>
      <c r="IZ11" s="4"/>
      <c r="JA11" s="4"/>
      <c r="JB11" s="4"/>
      <c r="JC11" s="4"/>
      <c r="JD11" s="4"/>
      <c r="JE11" s="4"/>
      <c r="JF11" s="4"/>
      <c r="JG11" s="4"/>
      <c r="JH11" s="4"/>
      <c r="JI11" s="4"/>
      <c r="JJ11" s="4"/>
      <c r="JK11" s="4"/>
      <c r="JL11" s="4"/>
      <c r="JM11" s="4"/>
      <c r="JN11" s="4"/>
      <c r="JO11" s="4"/>
      <c r="JP11" s="4"/>
      <c r="JQ11" s="4"/>
      <c r="JR11" s="4"/>
      <c r="JS11" s="4"/>
      <c r="JT11" s="4"/>
      <c r="JU11" s="4"/>
      <c r="JV11" s="4"/>
      <c r="JW11" s="4"/>
      <c r="JX11" s="4"/>
      <c r="JY11" s="4"/>
      <c r="JZ11" s="4"/>
      <c r="KA11" s="4"/>
      <c r="KB11" s="4"/>
      <c r="KC11" s="4"/>
      <c r="KD11" s="4"/>
      <c r="KE11" s="4"/>
      <c r="KF11" s="4"/>
      <c r="KG11" s="4"/>
      <c r="KH11" s="4"/>
      <c r="KI11" s="4"/>
      <c r="KJ11" s="4"/>
      <c r="KK11" s="4"/>
      <c r="KL11" s="4"/>
      <c r="KM11" s="4"/>
      <c r="KN11" s="4"/>
      <c r="KO11" s="4"/>
      <c r="KP11" s="4"/>
      <c r="KQ11" s="4"/>
      <c r="KR11" s="4"/>
      <c r="KS11" s="4"/>
    </row>
    <row r="12" spans="1:305" ht="12" customHeight="1" x14ac:dyDescent="0.35">
      <c r="A12" s="14"/>
      <c r="B12" s="16" t="s">
        <v>413</v>
      </c>
      <c r="C12" s="17" t="s">
        <v>34</v>
      </c>
      <c r="D12" s="14"/>
      <c r="E12" s="17" t="s">
        <v>35</v>
      </c>
      <c r="F12" s="18">
        <v>8.6470006786436099E-2</v>
      </c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4"/>
      <c r="T12" s="14"/>
      <c r="U12" s="14"/>
      <c r="V12" s="14"/>
      <c r="W12" s="14"/>
      <c r="X12" s="19"/>
      <c r="Y12" s="19"/>
      <c r="Z12" s="19"/>
      <c r="AA12" s="19"/>
      <c r="AB12" s="19"/>
      <c r="AC12" s="19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/>
      <c r="DL12" s="14"/>
      <c r="DM12" s="14"/>
      <c r="DN12" s="14"/>
      <c r="DO12" s="14"/>
      <c r="DP12" s="14"/>
      <c r="DQ12" s="14"/>
      <c r="DR12" s="14"/>
      <c r="DS12" s="14"/>
      <c r="DT12" s="14"/>
      <c r="DU12" s="14"/>
      <c r="DV12" s="14"/>
      <c r="DW12" s="14"/>
      <c r="DX12" s="14"/>
      <c r="DY12" s="14"/>
      <c r="DZ12" s="14"/>
      <c r="EA12" s="14"/>
      <c r="EB12" s="14"/>
      <c r="EC12" s="14"/>
      <c r="ED12" s="14"/>
      <c r="EE12" s="14"/>
      <c r="EF12" s="14"/>
      <c r="EG12" s="14"/>
      <c r="EH12" s="14"/>
      <c r="EI12" s="14"/>
      <c r="EJ12" s="14"/>
      <c r="EK12" s="14"/>
      <c r="EL12" s="14"/>
      <c r="EM12" s="14"/>
      <c r="EN12" s="14"/>
      <c r="EO12" s="14"/>
      <c r="EP12" s="14"/>
      <c r="EQ12" s="14"/>
      <c r="ER12" s="14"/>
      <c r="ES12" s="14"/>
      <c r="ET12" s="14"/>
      <c r="EU12" s="14"/>
      <c r="EV12" s="14"/>
      <c r="EW12" s="14"/>
      <c r="EX12" s="14"/>
      <c r="EY12" s="14"/>
      <c r="EZ12" s="14"/>
      <c r="FA12" s="14"/>
      <c r="FB12" s="14"/>
      <c r="FC12" s="14"/>
      <c r="FD12" s="14"/>
      <c r="FE12" s="14"/>
      <c r="FF12" s="14"/>
      <c r="FG12" s="14"/>
      <c r="FH12" s="14"/>
      <c r="FI12" s="14"/>
      <c r="FJ12" s="14"/>
      <c r="FK12" s="14"/>
      <c r="FL12" s="14"/>
      <c r="FM12" s="14"/>
      <c r="FN12" s="14"/>
      <c r="FO12" s="14"/>
      <c r="FP12" s="14"/>
      <c r="FQ12" s="14"/>
      <c r="FR12" s="14"/>
      <c r="FS12" s="14"/>
      <c r="FT12" s="14"/>
      <c r="FU12" s="14"/>
      <c r="FV12" s="14"/>
      <c r="FW12" s="14"/>
      <c r="FX12" s="14"/>
      <c r="FY12" s="14"/>
      <c r="FZ12" s="14"/>
      <c r="GA12" s="14"/>
      <c r="GB12" s="14"/>
      <c r="GC12" s="14"/>
      <c r="GD12" s="14"/>
      <c r="GE12" s="14"/>
      <c r="GF12" s="14"/>
      <c r="GG12" s="14"/>
      <c r="GH12" s="14"/>
      <c r="GI12" s="14"/>
      <c r="GJ12" s="14"/>
      <c r="GK12" s="14"/>
      <c r="GL12" s="14"/>
      <c r="GM12" s="14"/>
      <c r="GN12" s="14"/>
      <c r="GO12" s="14"/>
      <c r="GP12" s="14"/>
      <c r="GQ12" s="14"/>
      <c r="GR12" s="14"/>
      <c r="GS12" s="14"/>
      <c r="GT12" s="14"/>
      <c r="GU12" s="14"/>
      <c r="GV12" s="14"/>
      <c r="GW12" s="14"/>
      <c r="GX12" s="14"/>
      <c r="GY12" s="14"/>
      <c r="GZ12" s="14"/>
      <c r="HA12" s="14"/>
      <c r="HB12" s="14"/>
      <c r="HC12" s="14"/>
      <c r="HD12" s="14"/>
      <c r="HE12" s="14"/>
      <c r="HF12" s="14"/>
      <c r="HG12" s="14"/>
      <c r="HH12" s="14"/>
      <c r="HI12" s="14"/>
      <c r="HJ12" s="14"/>
      <c r="HK12" s="14"/>
      <c r="HL12" s="14"/>
      <c r="HM12" s="14"/>
      <c r="HN12" s="14"/>
      <c r="HO12" s="14"/>
      <c r="HP12" s="14"/>
      <c r="HQ12" s="14"/>
      <c r="HR12" s="14"/>
      <c r="HS12" s="14"/>
      <c r="HT12" s="14"/>
      <c r="HU12" s="14"/>
      <c r="HV12" s="14"/>
      <c r="HW12" s="14"/>
      <c r="HX12" s="14"/>
      <c r="HY12" s="14"/>
      <c r="HZ12" s="14"/>
      <c r="IA12" s="14"/>
      <c r="IB12" s="14"/>
      <c r="IC12" s="14"/>
      <c r="ID12" s="14"/>
      <c r="IE12" s="14"/>
      <c r="IF12" s="14"/>
      <c r="IG12" s="14"/>
      <c r="IH12" s="14"/>
      <c r="II12" s="14"/>
      <c r="IJ12" s="14"/>
      <c r="IK12" s="14"/>
      <c r="IL12" s="14"/>
      <c r="IM12" s="14"/>
      <c r="IN12" s="14"/>
      <c r="IO12" s="14"/>
      <c r="IP12" s="14"/>
      <c r="IQ12" s="14"/>
      <c r="IR12" s="14"/>
      <c r="IS12" s="14"/>
      <c r="IT12" s="14"/>
      <c r="IU12" s="14"/>
      <c r="IV12" s="14"/>
      <c r="IW12" s="14"/>
      <c r="IX12" s="14"/>
      <c r="IY12" s="14"/>
      <c r="IZ12" s="14"/>
      <c r="JA12" s="14"/>
      <c r="JB12" s="14"/>
      <c r="JC12" s="14"/>
      <c r="JD12" s="14"/>
      <c r="JE12" s="14"/>
      <c r="JF12" s="14"/>
      <c r="JG12" s="14"/>
      <c r="JH12" s="14"/>
      <c r="JI12" s="14"/>
      <c r="JJ12" s="14"/>
      <c r="JK12" s="14"/>
      <c r="JL12" s="14"/>
      <c r="JM12" s="14"/>
      <c r="JN12" s="14"/>
      <c r="JO12" s="14"/>
      <c r="JP12" s="14"/>
      <c r="JQ12" s="14"/>
      <c r="JR12" s="14"/>
      <c r="JS12" s="14"/>
      <c r="JT12" s="14"/>
      <c r="JU12" s="14"/>
      <c r="JV12" s="14"/>
      <c r="JW12" s="14"/>
      <c r="JX12" s="14"/>
      <c r="JY12" s="14"/>
      <c r="JZ12" s="14"/>
      <c r="KA12" s="14"/>
      <c r="KB12" s="14"/>
      <c r="KC12" s="14"/>
      <c r="KD12" s="14"/>
      <c r="KE12" s="14"/>
      <c r="KF12" s="14"/>
      <c r="KG12" s="14"/>
      <c r="KH12" s="14"/>
      <c r="KI12" s="14"/>
      <c r="KJ12" s="14"/>
      <c r="KK12" s="14"/>
      <c r="KL12" s="14"/>
      <c r="KM12" s="14"/>
      <c r="KN12" s="14"/>
      <c r="KO12" s="14"/>
      <c r="KP12" s="14"/>
      <c r="KQ12" s="14"/>
      <c r="KR12" s="14"/>
      <c r="KS12" s="14"/>
    </row>
    <row r="13" spans="1:305" ht="12" customHeight="1" x14ac:dyDescent="0.35">
      <c r="A13" s="14"/>
      <c r="B13" s="14"/>
      <c r="C13" s="14"/>
      <c r="D13" s="14"/>
      <c r="E13" s="20" t="s">
        <v>18</v>
      </c>
      <c r="F13" s="21" t="s">
        <v>36</v>
      </c>
      <c r="G13" s="21" t="s">
        <v>37</v>
      </c>
      <c r="H13" s="21" t="s">
        <v>38</v>
      </c>
      <c r="I13" s="21" t="s">
        <v>39</v>
      </c>
      <c r="J13" s="21" t="s">
        <v>40</v>
      </c>
      <c r="K13" s="21" t="s">
        <v>41</v>
      </c>
      <c r="L13" s="21" t="s">
        <v>42</v>
      </c>
      <c r="M13" s="21" t="s">
        <v>43</v>
      </c>
      <c r="N13" s="21" t="s">
        <v>44</v>
      </c>
      <c r="O13" s="21" t="s">
        <v>45</v>
      </c>
      <c r="P13" s="21" t="s">
        <v>46</v>
      </c>
      <c r="Q13" s="21" t="s">
        <v>47</v>
      </c>
      <c r="R13" s="21" t="s">
        <v>48</v>
      </c>
      <c r="S13" s="21" t="s">
        <v>49</v>
      </c>
      <c r="T13" s="21" t="s">
        <v>50</v>
      </c>
      <c r="U13" s="21" t="s">
        <v>51</v>
      </c>
      <c r="V13" s="21" t="s">
        <v>52</v>
      </c>
      <c r="W13" s="21" t="s">
        <v>53</v>
      </c>
      <c r="X13" s="21" t="s">
        <v>54</v>
      </c>
      <c r="Y13" s="21" t="s">
        <v>55</v>
      </c>
      <c r="Z13" s="21" t="s">
        <v>56</v>
      </c>
      <c r="AA13" s="21" t="s">
        <v>57</v>
      </c>
      <c r="AB13" s="21" t="s">
        <v>58</v>
      </c>
      <c r="AC13" s="21" t="s">
        <v>59</v>
      </c>
      <c r="AD13" s="22" t="s">
        <v>60</v>
      </c>
      <c r="AE13" s="22" t="s">
        <v>61</v>
      </c>
      <c r="AF13" s="22" t="s">
        <v>62</v>
      </c>
      <c r="AG13" s="22" t="s">
        <v>63</v>
      </c>
      <c r="AH13" s="22" t="s">
        <v>64</v>
      </c>
      <c r="AI13" s="22" t="s">
        <v>65</v>
      </c>
      <c r="AJ13" s="22" t="s">
        <v>66</v>
      </c>
      <c r="AK13" s="22" t="s">
        <v>67</v>
      </c>
      <c r="AL13" s="22" t="s">
        <v>68</v>
      </c>
      <c r="AM13" s="22" t="s">
        <v>69</v>
      </c>
      <c r="AN13" s="22" t="s">
        <v>70</v>
      </c>
      <c r="AO13" s="22" t="s">
        <v>71</v>
      </c>
      <c r="AP13" s="22" t="s">
        <v>72</v>
      </c>
      <c r="AQ13" s="22" t="s">
        <v>73</v>
      </c>
      <c r="AR13" s="22" t="s">
        <v>74</v>
      </c>
      <c r="AS13" s="22" t="s">
        <v>75</v>
      </c>
      <c r="AT13" s="22" t="s">
        <v>76</v>
      </c>
      <c r="AU13" s="22" t="s">
        <v>77</v>
      </c>
      <c r="AV13" s="22" t="s">
        <v>78</v>
      </c>
      <c r="AW13" s="22" t="s">
        <v>79</v>
      </c>
      <c r="AX13" s="22" t="s">
        <v>80</v>
      </c>
      <c r="AY13" s="22" t="s">
        <v>81</v>
      </c>
      <c r="AZ13" s="22" t="s">
        <v>82</v>
      </c>
      <c r="BA13" s="22" t="s">
        <v>83</v>
      </c>
      <c r="BB13" s="22" t="s">
        <v>84</v>
      </c>
      <c r="BC13" s="22" t="s">
        <v>85</v>
      </c>
      <c r="BD13" s="22" t="s">
        <v>86</v>
      </c>
      <c r="BE13" s="22" t="s">
        <v>87</v>
      </c>
      <c r="BF13" s="22" t="s">
        <v>88</v>
      </c>
      <c r="BG13" s="22" t="s">
        <v>89</v>
      </c>
      <c r="BH13" s="22" t="s">
        <v>90</v>
      </c>
      <c r="BI13" s="22" t="s">
        <v>91</v>
      </c>
      <c r="BJ13" s="22" t="s">
        <v>92</v>
      </c>
      <c r="BK13" s="22" t="s">
        <v>93</v>
      </c>
      <c r="BL13" s="22" t="s">
        <v>94</v>
      </c>
      <c r="BM13" s="22" t="s">
        <v>95</v>
      </c>
      <c r="BN13" s="22" t="s">
        <v>96</v>
      </c>
      <c r="BO13" s="22" t="s">
        <v>97</v>
      </c>
      <c r="BP13" s="22" t="s">
        <v>98</v>
      </c>
      <c r="BQ13" s="22" t="s">
        <v>99</v>
      </c>
      <c r="BR13" s="22" t="s">
        <v>100</v>
      </c>
      <c r="BS13" s="22" t="s">
        <v>101</v>
      </c>
      <c r="BT13" s="22" t="s">
        <v>102</v>
      </c>
      <c r="BU13" s="22" t="s">
        <v>103</v>
      </c>
      <c r="BV13" s="22" t="s">
        <v>104</v>
      </c>
      <c r="BW13" s="22" t="s">
        <v>105</v>
      </c>
      <c r="BX13" s="22" t="s">
        <v>106</v>
      </c>
      <c r="BY13" s="22" t="s">
        <v>107</v>
      </c>
      <c r="BZ13" s="22" t="s">
        <v>108</v>
      </c>
      <c r="CA13" s="22" t="s">
        <v>109</v>
      </c>
      <c r="CB13" s="22" t="s">
        <v>110</v>
      </c>
      <c r="CC13" s="22" t="s">
        <v>111</v>
      </c>
      <c r="CD13" s="22" t="s">
        <v>112</v>
      </c>
      <c r="CE13" s="22" t="s">
        <v>113</v>
      </c>
      <c r="CF13" s="22" t="s">
        <v>114</v>
      </c>
      <c r="CG13" s="22" t="s">
        <v>115</v>
      </c>
      <c r="CH13" s="22" t="s">
        <v>116</v>
      </c>
      <c r="CI13" s="22" t="s">
        <v>117</v>
      </c>
      <c r="CJ13" s="22" t="s">
        <v>118</v>
      </c>
      <c r="CK13" s="22" t="s">
        <v>119</v>
      </c>
      <c r="CL13" s="22" t="s">
        <v>120</v>
      </c>
      <c r="CM13" s="22" t="s">
        <v>121</v>
      </c>
      <c r="CN13" s="22" t="s">
        <v>122</v>
      </c>
      <c r="CO13" s="22" t="s">
        <v>123</v>
      </c>
      <c r="CP13" s="22" t="s">
        <v>124</v>
      </c>
      <c r="CQ13" s="22" t="s">
        <v>125</v>
      </c>
      <c r="CR13" s="22" t="s">
        <v>126</v>
      </c>
      <c r="CS13" s="22" t="s">
        <v>127</v>
      </c>
      <c r="CT13" s="22" t="s">
        <v>128</v>
      </c>
      <c r="CU13" s="22" t="s">
        <v>129</v>
      </c>
      <c r="CV13" s="22" t="s">
        <v>130</v>
      </c>
      <c r="CW13" s="22" t="s">
        <v>131</v>
      </c>
      <c r="CX13" s="22" t="s">
        <v>132</v>
      </c>
      <c r="CY13" s="22" t="s">
        <v>133</v>
      </c>
      <c r="CZ13" s="22" t="s">
        <v>134</v>
      </c>
      <c r="DA13" s="22" t="s">
        <v>135</v>
      </c>
      <c r="DB13" s="22" t="s">
        <v>136</v>
      </c>
      <c r="DC13" s="22" t="s">
        <v>137</v>
      </c>
      <c r="DD13" s="22" t="s">
        <v>138</v>
      </c>
      <c r="DE13" s="22" t="s">
        <v>139</v>
      </c>
      <c r="DF13" s="22" t="s">
        <v>140</v>
      </c>
      <c r="DG13" s="22" t="s">
        <v>141</v>
      </c>
      <c r="DH13" s="22" t="s">
        <v>142</v>
      </c>
      <c r="DI13" s="22" t="s">
        <v>143</v>
      </c>
      <c r="DJ13" s="22" t="s">
        <v>144</v>
      </c>
      <c r="DK13" s="22" t="s">
        <v>145</v>
      </c>
      <c r="DL13" s="22" t="s">
        <v>146</v>
      </c>
      <c r="DM13" s="22" t="s">
        <v>147</v>
      </c>
      <c r="DN13" s="22" t="s">
        <v>148</v>
      </c>
      <c r="DO13" s="22" t="s">
        <v>149</v>
      </c>
      <c r="DP13" s="22" t="s">
        <v>150</v>
      </c>
      <c r="DQ13" s="22" t="s">
        <v>151</v>
      </c>
      <c r="DR13" s="22" t="s">
        <v>152</v>
      </c>
      <c r="DS13" s="22" t="s">
        <v>153</v>
      </c>
      <c r="DT13" s="22" t="s">
        <v>154</v>
      </c>
      <c r="DU13" s="22" t="s">
        <v>155</v>
      </c>
      <c r="DV13" s="22" t="s">
        <v>156</v>
      </c>
      <c r="DW13" s="22" t="s">
        <v>157</v>
      </c>
      <c r="DX13" s="22" t="s">
        <v>158</v>
      </c>
      <c r="DY13" s="22" t="s">
        <v>159</v>
      </c>
      <c r="DZ13" s="22" t="s">
        <v>160</v>
      </c>
      <c r="EA13" s="22" t="s">
        <v>161</v>
      </c>
      <c r="EB13" s="22" t="s">
        <v>162</v>
      </c>
      <c r="EC13" s="22" t="s">
        <v>163</v>
      </c>
      <c r="ED13" s="22" t="s">
        <v>164</v>
      </c>
      <c r="EE13" s="22" t="s">
        <v>165</v>
      </c>
      <c r="EF13" s="22" t="s">
        <v>166</v>
      </c>
      <c r="EG13" s="22" t="s">
        <v>167</v>
      </c>
      <c r="EH13" s="22" t="s">
        <v>168</v>
      </c>
      <c r="EI13" s="22" t="s">
        <v>169</v>
      </c>
      <c r="EJ13" s="22" t="s">
        <v>170</v>
      </c>
      <c r="EK13" s="22" t="s">
        <v>171</v>
      </c>
      <c r="EL13" s="22" t="s">
        <v>172</v>
      </c>
      <c r="EM13" s="22" t="s">
        <v>173</v>
      </c>
      <c r="EN13" s="22" t="s">
        <v>174</v>
      </c>
      <c r="EO13" s="22" t="s">
        <v>175</v>
      </c>
      <c r="EP13" s="22" t="s">
        <v>176</v>
      </c>
      <c r="EQ13" s="22" t="s">
        <v>177</v>
      </c>
      <c r="ER13" s="22" t="s">
        <v>178</v>
      </c>
      <c r="ES13" s="22" t="s">
        <v>179</v>
      </c>
      <c r="ET13" s="22" t="s">
        <v>180</v>
      </c>
      <c r="EU13" s="22" t="s">
        <v>181</v>
      </c>
      <c r="EV13" s="22" t="s">
        <v>182</v>
      </c>
      <c r="EW13" s="22" t="s">
        <v>183</v>
      </c>
      <c r="EX13" s="22" t="s">
        <v>184</v>
      </c>
      <c r="EY13" s="22" t="s">
        <v>185</v>
      </c>
      <c r="EZ13" s="22" t="s">
        <v>186</v>
      </c>
      <c r="FA13" s="22" t="s">
        <v>187</v>
      </c>
      <c r="FB13" s="22" t="s">
        <v>188</v>
      </c>
      <c r="FC13" s="22" t="s">
        <v>189</v>
      </c>
      <c r="FD13" s="22" t="s">
        <v>190</v>
      </c>
      <c r="FE13" s="22" t="s">
        <v>191</v>
      </c>
      <c r="FF13" s="23" t="s">
        <v>192</v>
      </c>
      <c r="FG13" s="23" t="s">
        <v>193</v>
      </c>
      <c r="FH13" s="23" t="s">
        <v>194</v>
      </c>
      <c r="FI13" s="23" t="s">
        <v>195</v>
      </c>
      <c r="FJ13" s="23" t="s">
        <v>196</v>
      </c>
      <c r="FK13" s="23" t="s">
        <v>197</v>
      </c>
      <c r="FL13" s="23" t="s">
        <v>198</v>
      </c>
      <c r="FM13" s="23" t="s">
        <v>199</v>
      </c>
      <c r="FN13" s="23" t="s">
        <v>200</v>
      </c>
      <c r="FO13" s="23" t="s">
        <v>201</v>
      </c>
      <c r="FP13" s="23" t="s">
        <v>202</v>
      </c>
      <c r="FQ13" s="23" t="s">
        <v>203</v>
      </c>
      <c r="FR13" s="23" t="s">
        <v>204</v>
      </c>
      <c r="FS13" s="23" t="s">
        <v>205</v>
      </c>
      <c r="FT13" s="23" t="s">
        <v>206</v>
      </c>
      <c r="FU13" s="23" t="s">
        <v>207</v>
      </c>
      <c r="FV13" s="23" t="s">
        <v>208</v>
      </c>
      <c r="FW13" s="23" t="s">
        <v>209</v>
      </c>
      <c r="FX13" s="23" t="s">
        <v>210</v>
      </c>
      <c r="FY13" s="23" t="s">
        <v>211</v>
      </c>
      <c r="FZ13" s="23" t="s">
        <v>212</v>
      </c>
      <c r="GA13" s="23" t="s">
        <v>213</v>
      </c>
      <c r="GB13" s="23" t="s">
        <v>214</v>
      </c>
      <c r="GC13" s="23" t="s">
        <v>215</v>
      </c>
      <c r="GD13" s="23" t="s">
        <v>216</v>
      </c>
      <c r="GE13" s="23" t="s">
        <v>217</v>
      </c>
      <c r="GF13" s="23" t="s">
        <v>218</v>
      </c>
      <c r="GG13" s="23" t="s">
        <v>219</v>
      </c>
      <c r="GH13" s="23" t="s">
        <v>220</v>
      </c>
      <c r="GI13" s="23" t="s">
        <v>221</v>
      </c>
      <c r="GJ13" s="23" t="s">
        <v>222</v>
      </c>
      <c r="GK13" s="23" t="s">
        <v>223</v>
      </c>
      <c r="GL13" s="23" t="s">
        <v>224</v>
      </c>
      <c r="GM13" s="23" t="s">
        <v>225</v>
      </c>
      <c r="GN13" s="23" t="s">
        <v>226</v>
      </c>
      <c r="GO13" s="23" t="s">
        <v>227</v>
      </c>
      <c r="GP13" s="23" t="s">
        <v>228</v>
      </c>
      <c r="GQ13" s="23" t="s">
        <v>229</v>
      </c>
      <c r="GR13" s="23" t="s">
        <v>230</v>
      </c>
      <c r="GS13" s="23" t="s">
        <v>231</v>
      </c>
      <c r="GT13" s="23" t="s">
        <v>232</v>
      </c>
      <c r="GU13" s="23" t="s">
        <v>233</v>
      </c>
      <c r="GV13" s="23" t="s">
        <v>234</v>
      </c>
      <c r="GW13" s="23" t="s">
        <v>235</v>
      </c>
      <c r="GX13" s="23" t="s">
        <v>236</v>
      </c>
      <c r="GY13" s="23" t="s">
        <v>237</v>
      </c>
      <c r="GZ13" s="23" t="s">
        <v>238</v>
      </c>
      <c r="HA13" s="23" t="s">
        <v>239</v>
      </c>
      <c r="HB13" s="23" t="s">
        <v>240</v>
      </c>
      <c r="HC13" s="23" t="s">
        <v>241</v>
      </c>
      <c r="HD13" s="23" t="s">
        <v>242</v>
      </c>
      <c r="HE13" s="23" t="s">
        <v>243</v>
      </c>
      <c r="HF13" s="23" t="s">
        <v>244</v>
      </c>
      <c r="HG13" s="23" t="s">
        <v>245</v>
      </c>
      <c r="HH13" s="23" t="s">
        <v>246</v>
      </c>
      <c r="HI13" s="23" t="s">
        <v>247</v>
      </c>
      <c r="HJ13" s="23" t="s">
        <v>248</v>
      </c>
      <c r="HK13" s="23" t="s">
        <v>249</v>
      </c>
      <c r="HL13" s="23" t="s">
        <v>250</v>
      </c>
      <c r="HM13" s="23" t="s">
        <v>251</v>
      </c>
      <c r="HN13" s="23" t="s">
        <v>252</v>
      </c>
      <c r="HO13" s="23" t="s">
        <v>253</v>
      </c>
      <c r="HP13" s="23" t="s">
        <v>254</v>
      </c>
      <c r="HQ13" s="23" t="s">
        <v>255</v>
      </c>
      <c r="HR13" s="23" t="s">
        <v>256</v>
      </c>
      <c r="HS13" s="23" t="s">
        <v>257</v>
      </c>
      <c r="HT13" s="23" t="s">
        <v>258</v>
      </c>
      <c r="HU13" s="23" t="s">
        <v>259</v>
      </c>
      <c r="HV13" s="23" t="s">
        <v>260</v>
      </c>
      <c r="HW13" s="23" t="s">
        <v>261</v>
      </c>
      <c r="HX13" s="23" t="s">
        <v>262</v>
      </c>
      <c r="HY13" s="23" t="s">
        <v>263</v>
      </c>
      <c r="HZ13" s="23" t="s">
        <v>264</v>
      </c>
      <c r="IA13" s="23" t="s">
        <v>265</v>
      </c>
      <c r="IB13" s="23" t="s">
        <v>266</v>
      </c>
      <c r="IC13" s="23" t="s">
        <v>267</v>
      </c>
      <c r="ID13" s="23" t="s">
        <v>268</v>
      </c>
      <c r="IE13" s="23" t="s">
        <v>269</v>
      </c>
      <c r="IF13" s="23" t="s">
        <v>270</v>
      </c>
      <c r="IG13" s="23" t="s">
        <v>271</v>
      </c>
      <c r="IH13" s="23" t="s">
        <v>272</v>
      </c>
      <c r="II13" s="23" t="s">
        <v>273</v>
      </c>
      <c r="IJ13" s="23" t="s">
        <v>274</v>
      </c>
      <c r="IK13" s="23" t="s">
        <v>275</v>
      </c>
      <c r="IL13" s="23" t="s">
        <v>276</v>
      </c>
      <c r="IM13" s="23" t="s">
        <v>277</v>
      </c>
      <c r="IN13" s="23" t="s">
        <v>278</v>
      </c>
      <c r="IO13" s="23" t="s">
        <v>279</v>
      </c>
      <c r="IP13" s="23" t="s">
        <v>280</v>
      </c>
      <c r="IQ13" s="23" t="s">
        <v>281</v>
      </c>
      <c r="IR13" s="23" t="s">
        <v>282</v>
      </c>
      <c r="IS13" s="23" t="s">
        <v>283</v>
      </c>
      <c r="IT13" s="23" t="s">
        <v>284</v>
      </c>
      <c r="IU13" s="23" t="s">
        <v>285</v>
      </c>
      <c r="IV13" s="23" t="s">
        <v>286</v>
      </c>
      <c r="IW13" s="23" t="s">
        <v>287</v>
      </c>
      <c r="IX13" s="23" t="s">
        <v>288</v>
      </c>
      <c r="IY13" s="23" t="s">
        <v>289</v>
      </c>
      <c r="IZ13" s="23" t="s">
        <v>290</v>
      </c>
      <c r="JA13" s="23" t="s">
        <v>291</v>
      </c>
      <c r="JB13" s="23" t="s">
        <v>292</v>
      </c>
      <c r="JC13" s="23" t="s">
        <v>293</v>
      </c>
      <c r="JD13" s="23" t="s">
        <v>294</v>
      </c>
      <c r="JE13" s="23" t="s">
        <v>295</v>
      </c>
      <c r="JF13" s="23" t="s">
        <v>296</v>
      </c>
      <c r="JG13" s="23" t="s">
        <v>297</v>
      </c>
      <c r="JH13" s="23" t="s">
        <v>298</v>
      </c>
      <c r="JI13" s="23" t="s">
        <v>299</v>
      </c>
      <c r="JJ13" s="23" t="s">
        <v>300</v>
      </c>
      <c r="JK13" s="23" t="s">
        <v>301</v>
      </c>
      <c r="JL13" s="23" t="s">
        <v>302</v>
      </c>
      <c r="JM13" s="23" t="s">
        <v>303</v>
      </c>
      <c r="JN13" s="23" t="s">
        <v>304</v>
      </c>
      <c r="JO13" s="23" t="s">
        <v>305</v>
      </c>
      <c r="JP13" s="23" t="s">
        <v>306</v>
      </c>
      <c r="JQ13" s="23" t="s">
        <v>307</v>
      </c>
      <c r="JR13" s="23" t="s">
        <v>308</v>
      </c>
      <c r="JS13" s="23" t="s">
        <v>309</v>
      </c>
      <c r="JT13" s="23" t="s">
        <v>310</v>
      </c>
      <c r="JU13" s="23" t="s">
        <v>311</v>
      </c>
      <c r="JV13" s="23" t="s">
        <v>312</v>
      </c>
      <c r="JW13" s="23" t="s">
        <v>313</v>
      </c>
      <c r="JX13" s="23" t="s">
        <v>314</v>
      </c>
      <c r="JY13" s="23" t="s">
        <v>315</v>
      </c>
      <c r="JZ13" s="23" t="s">
        <v>316</v>
      </c>
      <c r="KA13" s="23" t="s">
        <v>317</v>
      </c>
      <c r="KB13" s="23" t="s">
        <v>318</v>
      </c>
      <c r="KC13" s="23" t="s">
        <v>319</v>
      </c>
      <c r="KD13" s="23" t="s">
        <v>320</v>
      </c>
      <c r="KE13" s="23" t="s">
        <v>321</v>
      </c>
      <c r="KF13" s="23" t="s">
        <v>322</v>
      </c>
      <c r="KG13" s="23" t="s">
        <v>323</v>
      </c>
      <c r="KH13" s="23" t="s">
        <v>324</v>
      </c>
      <c r="KI13" s="23" t="s">
        <v>325</v>
      </c>
      <c r="KJ13" s="23" t="s">
        <v>326</v>
      </c>
      <c r="KK13" s="23" t="s">
        <v>327</v>
      </c>
      <c r="KL13" s="23" t="s">
        <v>328</v>
      </c>
      <c r="KM13" s="23" t="s">
        <v>329</v>
      </c>
      <c r="KN13" s="23" t="s">
        <v>330</v>
      </c>
      <c r="KO13" s="23" t="s">
        <v>331</v>
      </c>
      <c r="KP13" s="23" t="s">
        <v>332</v>
      </c>
      <c r="KQ13" s="23" t="s">
        <v>333</v>
      </c>
      <c r="KR13" s="23" t="s">
        <v>334</v>
      </c>
      <c r="KS13" s="23" t="s">
        <v>335</v>
      </c>
    </row>
    <row r="14" spans="1:305" ht="12" customHeight="1" x14ac:dyDescent="0.35">
      <c r="A14" s="14"/>
      <c r="B14" s="14"/>
      <c r="C14" s="14"/>
      <c r="D14" s="14"/>
      <c r="E14" s="14"/>
      <c r="F14" s="24">
        <v>1</v>
      </c>
      <c r="G14" s="25">
        <v>0.97220336560206699</v>
      </c>
      <c r="H14" s="25">
        <v>0.94440673120413399</v>
      </c>
      <c r="I14" s="25">
        <v>0.91661009680620098</v>
      </c>
      <c r="J14" s="25">
        <v>0.88881346240826797</v>
      </c>
      <c r="K14" s="25">
        <v>0.86101682801033497</v>
      </c>
      <c r="L14" s="25">
        <v>0.83322019361240196</v>
      </c>
      <c r="M14" s="25">
        <v>0.80542355921446895</v>
      </c>
      <c r="N14" s="25">
        <v>0.77762692481653595</v>
      </c>
      <c r="O14" s="25">
        <v>0.74983029041860294</v>
      </c>
      <c r="P14" s="25">
        <v>0.72203365602066993</v>
      </c>
      <c r="Q14" s="25">
        <v>0.69423702162273693</v>
      </c>
      <c r="R14" s="18">
        <v>0.67654769000347625</v>
      </c>
      <c r="S14" s="18">
        <v>0.65885835838421558</v>
      </c>
      <c r="T14" s="18">
        <v>0.64116902676495491</v>
      </c>
      <c r="U14" s="18">
        <v>0.62347969514569423</v>
      </c>
      <c r="V14" s="18">
        <v>0.60579036352643356</v>
      </c>
      <c r="W14" s="18">
        <v>0.58810103190717289</v>
      </c>
      <c r="X14" s="18">
        <v>0.57041170028791222</v>
      </c>
      <c r="Y14" s="18">
        <v>0.55272236866865154</v>
      </c>
      <c r="Z14" s="18">
        <v>0.53503303704939087</v>
      </c>
      <c r="AA14" s="18">
        <v>0.5173437054301302</v>
      </c>
      <c r="AB14" s="18">
        <v>0.49965437381086952</v>
      </c>
      <c r="AC14" s="18">
        <v>0.48196504219160885</v>
      </c>
      <c r="AD14" s="18">
        <v>0.46968445329375641</v>
      </c>
      <c r="AE14" s="18">
        <v>0.45740386439590397</v>
      </c>
      <c r="AF14" s="18">
        <v>0.44512327549805153</v>
      </c>
      <c r="AG14" s="18">
        <v>0.43284268660019909</v>
      </c>
      <c r="AH14" s="18">
        <v>0.42056209770234665</v>
      </c>
      <c r="AI14" s="18">
        <v>0.40828150880449421</v>
      </c>
      <c r="AJ14" s="18">
        <v>0.39600091990664177</v>
      </c>
      <c r="AK14" s="18">
        <v>0.38372033100878933</v>
      </c>
      <c r="AL14" s="18">
        <v>0.37143974211093689</v>
      </c>
      <c r="AM14" s="18">
        <v>0.35915915321308445</v>
      </c>
      <c r="AN14" s="18">
        <v>0.34687856431523201</v>
      </c>
      <c r="AO14" s="18">
        <v>0.33459797541737957</v>
      </c>
      <c r="AP14" s="18">
        <v>0.32607233595716123</v>
      </c>
      <c r="AQ14" s="18">
        <v>0.31754669649694289</v>
      </c>
      <c r="AR14" s="18">
        <v>0.30902105703672456</v>
      </c>
      <c r="AS14" s="18">
        <v>0.30049541757650622</v>
      </c>
      <c r="AT14" s="18">
        <v>0.29196977811628788</v>
      </c>
      <c r="AU14" s="18">
        <v>0.28344413865606954</v>
      </c>
      <c r="AV14" s="18">
        <v>0.27491849919585121</v>
      </c>
      <c r="AW14" s="18">
        <v>0.26639285973563287</v>
      </c>
      <c r="AX14" s="18">
        <v>0.25786722027541453</v>
      </c>
      <c r="AY14" s="18">
        <v>0.2493415808151962</v>
      </c>
      <c r="AZ14" s="18">
        <v>0.24081594135497786</v>
      </c>
      <c r="BA14" s="18">
        <v>0.23229030189475952</v>
      </c>
      <c r="BB14" s="18">
        <v>0.22637148734846826</v>
      </c>
      <c r="BC14" s="18">
        <v>0.22045267280217701</v>
      </c>
      <c r="BD14" s="18">
        <v>0.21453385825588575</v>
      </c>
      <c r="BE14" s="18">
        <v>0.20861504370959449</v>
      </c>
      <c r="BF14" s="18">
        <v>0.20269622916330324</v>
      </c>
      <c r="BG14" s="18">
        <v>0.19677741461701198</v>
      </c>
      <c r="BH14" s="18">
        <v>0.19085860007072072</v>
      </c>
      <c r="BI14" s="18">
        <v>0.18493978552442947</v>
      </c>
      <c r="BJ14" s="18">
        <v>0.17902097097813821</v>
      </c>
      <c r="BK14" s="18">
        <v>0.17310215643184695</v>
      </c>
      <c r="BL14" s="18">
        <v>0.1671833418855557</v>
      </c>
      <c r="BM14" s="18">
        <v>0.16126452733926444</v>
      </c>
      <c r="BN14" s="18">
        <v>0.15715546715710987</v>
      </c>
      <c r="BO14" s="18">
        <v>0.15304640697495531</v>
      </c>
      <c r="BP14" s="18">
        <v>0.14893734679280074</v>
      </c>
      <c r="BQ14" s="18">
        <v>0.14482828661064617</v>
      </c>
      <c r="BR14" s="18">
        <v>0.14071922642849161</v>
      </c>
      <c r="BS14" s="18">
        <v>0.13661016624633704</v>
      </c>
      <c r="BT14" s="18">
        <v>0.13250110606418247</v>
      </c>
      <c r="BU14" s="18">
        <v>0.12839204588202791</v>
      </c>
      <c r="BV14" s="18">
        <v>0.12428298569987332</v>
      </c>
      <c r="BW14" s="18">
        <v>0.12017392551771874</v>
      </c>
      <c r="BX14" s="18">
        <v>0.11606486533556416</v>
      </c>
      <c r="BY14" s="18">
        <v>0.11195580515340958</v>
      </c>
      <c r="BZ14" s="18">
        <v>0.10910314345088201</v>
      </c>
      <c r="CA14" s="18">
        <v>0.10625048174835444</v>
      </c>
      <c r="CB14" s="18">
        <v>0.10339782004582687</v>
      </c>
      <c r="CC14" s="18">
        <v>0.1005451583432993</v>
      </c>
      <c r="CD14" s="18">
        <v>9.7692496640771731E-2</v>
      </c>
      <c r="CE14" s="18">
        <v>9.4839834938244161E-2</v>
      </c>
      <c r="CF14" s="18">
        <v>9.1987173235716591E-2</v>
      </c>
      <c r="CG14" s="18">
        <v>8.913451153318902E-2</v>
      </c>
      <c r="CH14" s="18">
        <v>8.628184983066145E-2</v>
      </c>
      <c r="CI14" s="18">
        <v>8.342918812813388E-2</v>
      </c>
      <c r="CJ14" s="18">
        <v>8.057652642560631E-2</v>
      </c>
      <c r="CK14" s="18">
        <v>7.7723864723078739E-2</v>
      </c>
      <c r="CL14" s="18">
        <v>7.5743441359018754E-2</v>
      </c>
      <c r="CM14" s="18">
        <v>7.3763017994958768E-2</v>
      </c>
      <c r="CN14" s="18">
        <v>7.1782594630898783E-2</v>
      </c>
      <c r="CO14" s="18">
        <v>6.9802171266838797E-2</v>
      </c>
      <c r="CP14" s="18">
        <v>6.7821747902778812E-2</v>
      </c>
      <c r="CQ14" s="18">
        <v>6.5841324538718826E-2</v>
      </c>
      <c r="CR14" s="18">
        <v>6.3860901174658841E-2</v>
      </c>
      <c r="CS14" s="18">
        <v>6.1880477810598848E-2</v>
      </c>
      <c r="CT14" s="18">
        <v>5.9900054446538856E-2</v>
      </c>
      <c r="CU14" s="18">
        <v>5.7919631082478863E-2</v>
      </c>
      <c r="CV14" s="18">
        <v>5.5939207718418871E-2</v>
      </c>
      <c r="CW14" s="18">
        <v>5.3958784354358878E-2</v>
      </c>
      <c r="CX14" s="18">
        <v>5.2583901136541787E-2</v>
      </c>
      <c r="CY14" s="18">
        <v>5.1209017918724696E-2</v>
      </c>
      <c r="CZ14" s="18">
        <v>4.9834134700907605E-2</v>
      </c>
      <c r="DA14" s="18">
        <v>4.8459251483090514E-2</v>
      </c>
      <c r="DB14" s="18">
        <v>4.7084368265273423E-2</v>
      </c>
      <c r="DC14" s="18">
        <v>4.5709485047456332E-2</v>
      </c>
      <c r="DD14" s="18">
        <v>4.4334601829639241E-2</v>
      </c>
      <c r="DE14" s="18">
        <v>4.2959718611822149E-2</v>
      </c>
      <c r="DF14" s="18">
        <v>4.1584835394005058E-2</v>
      </c>
      <c r="DG14" s="18">
        <v>4.0209952176187967E-2</v>
      </c>
      <c r="DH14" s="18">
        <v>3.8835068958370876E-2</v>
      </c>
      <c r="DI14" s="18">
        <v>3.7460185740553785E-2</v>
      </c>
      <c r="DJ14" s="18">
        <v>3.6505690910337361E-2</v>
      </c>
      <c r="DK14" s="18">
        <v>3.5551196080120938E-2</v>
      </c>
      <c r="DL14" s="18">
        <v>3.4596701249904514E-2</v>
      </c>
      <c r="DM14" s="18">
        <v>3.3642206419688091E-2</v>
      </c>
      <c r="DN14" s="18">
        <v>3.2687711589471667E-2</v>
      </c>
      <c r="DO14" s="18">
        <v>3.1733216759255244E-2</v>
      </c>
      <c r="DP14" s="18">
        <v>3.0778721929038824E-2</v>
      </c>
      <c r="DQ14" s="18">
        <v>2.9824227098822403E-2</v>
      </c>
      <c r="DR14" s="18">
        <v>2.8869732268605983E-2</v>
      </c>
      <c r="DS14" s="18">
        <v>2.7915237438389563E-2</v>
      </c>
      <c r="DT14" s="18">
        <v>2.6960742608173143E-2</v>
      </c>
      <c r="DU14" s="18">
        <v>2.6006247777956723E-2</v>
      </c>
      <c r="DV14" s="18">
        <v>2.5343602129872973E-2</v>
      </c>
      <c r="DW14" s="18">
        <v>2.4680956481789224E-2</v>
      </c>
      <c r="DX14" s="18">
        <v>2.4018310833705474E-2</v>
      </c>
      <c r="DY14" s="18">
        <v>2.3355665185621724E-2</v>
      </c>
      <c r="DZ14" s="18">
        <v>2.2693019537537974E-2</v>
      </c>
      <c r="EA14" s="18">
        <v>2.2030373889454224E-2</v>
      </c>
      <c r="EB14" s="18">
        <v>2.1367728241370475E-2</v>
      </c>
      <c r="EC14" s="18">
        <v>2.0705082593286725E-2</v>
      </c>
      <c r="ED14" s="18">
        <v>2.0042436945202975E-2</v>
      </c>
      <c r="EE14" s="18">
        <v>1.9379791297119225E-2</v>
      </c>
      <c r="EF14" s="18">
        <v>1.8717145649035476E-2</v>
      </c>
      <c r="EG14" s="18">
        <v>1.8054500000951726E-2</v>
      </c>
      <c r="EH14" s="18">
        <v>1.7594466859834797E-2</v>
      </c>
      <c r="EI14" s="18">
        <v>1.7134433718717867E-2</v>
      </c>
      <c r="EJ14" s="18">
        <v>1.6674400577600938E-2</v>
      </c>
      <c r="EK14" s="18">
        <v>1.6214367436484009E-2</v>
      </c>
      <c r="EL14" s="18">
        <v>1.575433429536708E-2</v>
      </c>
      <c r="EM14" s="18">
        <v>1.5294301154250151E-2</v>
      </c>
      <c r="EN14" s="18">
        <v>1.4834268013133221E-2</v>
      </c>
      <c r="EO14" s="18">
        <v>1.4374234872016292E-2</v>
      </c>
      <c r="EP14" s="18">
        <v>1.3914201730899363E-2</v>
      </c>
      <c r="EQ14" s="18">
        <v>1.3454168589782434E-2</v>
      </c>
      <c r="ER14" s="18">
        <v>1.2994135448665504E-2</v>
      </c>
      <c r="ES14" s="18">
        <v>1.2534102307548575E-2</v>
      </c>
      <c r="ET14" s="18">
        <v>1.2214730269811805E-2</v>
      </c>
      <c r="EU14" s="18">
        <v>1.1895358232075035E-2</v>
      </c>
      <c r="EV14" s="18">
        <v>1.1575986194338264E-2</v>
      </c>
      <c r="EW14" s="18">
        <v>1.1256614156601494E-2</v>
      </c>
      <c r="EX14" s="18">
        <v>1.0937242118864723E-2</v>
      </c>
      <c r="EY14" s="18">
        <v>1.0617870081127953E-2</v>
      </c>
      <c r="EZ14" s="18">
        <v>1.0298498043391183E-2</v>
      </c>
      <c r="FA14" s="18">
        <v>9.9791260056544123E-3</v>
      </c>
      <c r="FB14" s="18">
        <v>9.659753967917642E-3</v>
      </c>
      <c r="FC14" s="18">
        <v>9.3403819301808716E-3</v>
      </c>
      <c r="FD14" s="18">
        <v>9.0210098924441012E-3</v>
      </c>
      <c r="FE14" s="18">
        <v>8.7016378547073309E-3</v>
      </c>
      <c r="FF14" s="26">
        <v>8.4799179624393713E-3</v>
      </c>
      <c r="FG14" s="26">
        <v>8.2581980701714117E-3</v>
      </c>
      <c r="FH14" s="26">
        <v>8.0364781779034521E-3</v>
      </c>
      <c r="FI14" s="26">
        <v>7.8147582856354925E-3</v>
      </c>
      <c r="FJ14" s="26">
        <v>7.5930383933675329E-3</v>
      </c>
      <c r="FK14" s="26">
        <v>7.3713185010995733E-3</v>
      </c>
      <c r="FL14" s="26">
        <v>7.1495986088316137E-3</v>
      </c>
      <c r="FM14" s="26">
        <v>6.9278787165636541E-3</v>
      </c>
      <c r="FN14" s="26">
        <v>6.7061588242956945E-3</v>
      </c>
      <c r="FO14" s="26">
        <v>6.4844389320277349E-3</v>
      </c>
      <c r="FP14" s="26">
        <v>6.2627190397597753E-3</v>
      </c>
      <c r="FQ14" s="26">
        <v>6.0409991474918157E-3</v>
      </c>
      <c r="FR14" s="26">
        <v>5.8870729898491932E-3</v>
      </c>
      <c r="FS14" s="26">
        <v>5.7331468322065707E-3</v>
      </c>
      <c r="FT14" s="26">
        <v>5.5792206745639483E-3</v>
      </c>
      <c r="FU14" s="26">
        <v>5.4252945169213258E-3</v>
      </c>
      <c r="FV14" s="26">
        <v>5.2713683592787034E-3</v>
      </c>
      <c r="FW14" s="26">
        <v>5.1174422016360809E-3</v>
      </c>
      <c r="FX14" s="26">
        <v>4.9635160439934585E-3</v>
      </c>
      <c r="FY14" s="26">
        <v>4.809589886350836E-3</v>
      </c>
      <c r="FZ14" s="26">
        <v>4.6556637287082136E-3</v>
      </c>
      <c r="GA14" s="26">
        <v>4.5017375710655911E-3</v>
      </c>
      <c r="GB14" s="26">
        <v>4.3478114134229686E-3</v>
      </c>
      <c r="GC14" s="26">
        <v>4.1938852557803462E-3</v>
      </c>
      <c r="GD14" s="26">
        <v>4.1325602105295395E-3</v>
      </c>
      <c r="GE14" s="26">
        <v>4.0712351652787328E-3</v>
      </c>
      <c r="GF14" s="26">
        <v>4.0099101200279262E-3</v>
      </c>
      <c r="GG14" s="26">
        <v>3.9485850747771195E-3</v>
      </c>
      <c r="GH14" s="26">
        <v>3.8872600295263124E-3</v>
      </c>
      <c r="GI14" s="26">
        <v>3.8259349842755053E-3</v>
      </c>
      <c r="GJ14" s="26">
        <v>3.7646099390246982E-3</v>
      </c>
      <c r="GK14" s="26">
        <v>3.7032848937738911E-3</v>
      </c>
      <c r="GL14" s="26">
        <v>3.641959848523084E-3</v>
      </c>
      <c r="GM14" s="26">
        <v>3.5806348032722769E-3</v>
      </c>
      <c r="GN14" s="26">
        <v>3.5193097580214698E-3</v>
      </c>
      <c r="GO14" s="26">
        <v>3.4579847127706627E-3</v>
      </c>
      <c r="GP14" s="26">
        <v>3.3966596675198556E-3</v>
      </c>
      <c r="GQ14" s="26">
        <v>3.3353346222690485E-3</v>
      </c>
      <c r="GR14" s="26">
        <v>3.2740095770182414E-3</v>
      </c>
      <c r="GS14" s="26">
        <v>3.2126845317674343E-3</v>
      </c>
      <c r="GT14" s="26">
        <v>3.1513594865166272E-3</v>
      </c>
      <c r="GU14" s="26">
        <v>3.0900344412658201E-3</v>
      </c>
      <c r="GV14" s="26">
        <v>3.028709396015013E-3</v>
      </c>
      <c r="GW14" s="26">
        <v>2.9673843507642059E-3</v>
      </c>
      <c r="GX14" s="26">
        <v>2.9060593055133988E-3</v>
      </c>
      <c r="GY14" s="26">
        <v>2.8447342602625917E-3</v>
      </c>
      <c r="GZ14" s="26">
        <v>2.7834092150117846E-3</v>
      </c>
      <c r="HA14" s="26">
        <v>2.7220841697609775E-3</v>
      </c>
      <c r="HB14" s="26">
        <v>2.6607591245101704E-3</v>
      </c>
      <c r="HC14" s="26">
        <v>2.5994340792593633E-3</v>
      </c>
      <c r="HD14" s="26">
        <v>2.5381090340085562E-3</v>
      </c>
      <c r="HE14" s="26">
        <v>2.476783988757749E-3</v>
      </c>
      <c r="HF14" s="26">
        <v>2.4154589435069419E-3</v>
      </c>
      <c r="HG14" s="26">
        <v>2.3541338982561348E-3</v>
      </c>
      <c r="HH14" s="26">
        <v>2.2928088530053277E-3</v>
      </c>
      <c r="HI14" s="26">
        <v>2.2314838077545206E-3</v>
      </c>
      <c r="HJ14" s="26">
        <v>2.1701587625037135E-3</v>
      </c>
      <c r="HK14" s="26">
        <v>2.1088337172529064E-3</v>
      </c>
      <c r="HL14" s="26">
        <v>2.0475086720020993E-3</v>
      </c>
      <c r="HM14" s="26">
        <v>1.9861836267512922E-3</v>
      </c>
      <c r="HN14" s="26">
        <v>1.9248585815004851E-3</v>
      </c>
      <c r="HO14" s="26">
        <v>1.863533536249678E-3</v>
      </c>
      <c r="HP14" s="26">
        <v>1.8022084909988709E-3</v>
      </c>
      <c r="HQ14" s="26">
        <v>1.7408834457480638E-3</v>
      </c>
      <c r="HR14" s="26">
        <v>1.6795584004972567E-3</v>
      </c>
      <c r="HS14" s="26">
        <v>1.6182333552464496E-3</v>
      </c>
      <c r="HT14" s="26">
        <v>1.5569083099956425E-3</v>
      </c>
      <c r="HU14" s="26">
        <v>1.4955832647448354E-3</v>
      </c>
      <c r="HV14" s="26">
        <v>1.4342582194940283E-3</v>
      </c>
      <c r="HW14" s="26">
        <v>1.3729331742432212E-3</v>
      </c>
      <c r="HX14" s="26">
        <v>1.3116081289924141E-3</v>
      </c>
      <c r="HY14" s="26">
        <v>1.250283083741607E-3</v>
      </c>
      <c r="HZ14" s="26">
        <v>1.1889580384907999E-3</v>
      </c>
      <c r="IA14" s="26">
        <v>1.1276329932399928E-3</v>
      </c>
      <c r="IB14" s="26">
        <v>1.0663079479891857E-3</v>
      </c>
      <c r="IC14" s="26">
        <v>1.0049829027383786E-3</v>
      </c>
      <c r="ID14" s="26">
        <v>9.436578574875716E-4</v>
      </c>
      <c r="IE14" s="26">
        <v>8.823328122367646E-4</v>
      </c>
      <c r="IF14" s="26">
        <v>8.2100776698595761E-4</v>
      </c>
      <c r="IG14" s="26">
        <v>7.5968272173515062E-4</v>
      </c>
      <c r="IH14" s="26">
        <v>6.9835767648434362E-4</v>
      </c>
      <c r="II14" s="26">
        <v>6.3703263123353663E-4</v>
      </c>
      <c r="IJ14" s="26">
        <v>5.7570758598272963E-4</v>
      </c>
      <c r="IK14" s="26">
        <v>5.1438254073192264E-4</v>
      </c>
      <c r="IL14" s="26">
        <v>5.1438254073192264E-4</v>
      </c>
      <c r="IM14" s="26">
        <v>5.1438254073192264E-4</v>
      </c>
      <c r="IN14" s="26">
        <v>5.1438254073192264E-4</v>
      </c>
      <c r="IO14" s="26">
        <v>5.1438254073192264E-4</v>
      </c>
      <c r="IP14" s="26">
        <v>5.1438254073192264E-4</v>
      </c>
      <c r="IQ14" s="26">
        <v>5.1438254073192264E-4</v>
      </c>
      <c r="IR14" s="26">
        <v>5.1438254073192264E-4</v>
      </c>
      <c r="IS14" s="26">
        <v>5.1438254073192264E-4</v>
      </c>
      <c r="IT14" s="26">
        <v>5.1438254073192264E-4</v>
      </c>
      <c r="IU14" s="26">
        <v>5.1438254073192264E-4</v>
      </c>
      <c r="IV14" s="26">
        <v>5.1438254073192264E-4</v>
      </c>
      <c r="IW14" s="26">
        <v>5.1438254073192264E-4</v>
      </c>
      <c r="IX14" s="26">
        <v>5.1438254073192264E-4</v>
      </c>
      <c r="IY14" s="26">
        <v>5.1438254073192264E-4</v>
      </c>
      <c r="IZ14" s="26">
        <v>5.1438254073192264E-4</v>
      </c>
      <c r="JA14" s="26">
        <v>5.1438254073192264E-4</v>
      </c>
      <c r="JB14" s="26">
        <v>5.1438254073192264E-4</v>
      </c>
      <c r="JC14" s="26">
        <v>5.1438254073192264E-4</v>
      </c>
      <c r="JD14" s="26">
        <v>5.1438254073192264E-4</v>
      </c>
      <c r="JE14" s="26">
        <v>5.1438254073192264E-4</v>
      </c>
      <c r="JF14" s="26">
        <v>5.1438254073192264E-4</v>
      </c>
      <c r="JG14" s="26">
        <v>5.1438254073192264E-4</v>
      </c>
      <c r="JH14" s="26">
        <v>5.1438254073192264E-4</v>
      </c>
      <c r="JI14" s="26">
        <v>5.1438254073192264E-4</v>
      </c>
      <c r="JJ14" s="26">
        <v>5.1438254073192264E-4</v>
      </c>
      <c r="JK14" s="26">
        <v>5.1438254073192264E-4</v>
      </c>
      <c r="JL14" s="26">
        <v>5.1438254073192264E-4</v>
      </c>
      <c r="JM14" s="26">
        <v>5.1438254073192264E-4</v>
      </c>
      <c r="JN14" s="26">
        <v>5.1438254073192264E-4</v>
      </c>
      <c r="JO14" s="26">
        <v>5.1438254073192264E-4</v>
      </c>
      <c r="JP14" s="26">
        <v>5.1438254073192264E-4</v>
      </c>
      <c r="JQ14" s="26">
        <v>5.1438254073192264E-4</v>
      </c>
      <c r="JR14" s="26">
        <v>5.1438254073192264E-4</v>
      </c>
      <c r="JS14" s="26">
        <v>5.1438254073192264E-4</v>
      </c>
      <c r="JT14" s="26">
        <v>5.1438254073192264E-4</v>
      </c>
      <c r="JU14" s="26">
        <v>5.1438254073192264E-4</v>
      </c>
      <c r="JV14" s="26">
        <v>5.1438254073192264E-4</v>
      </c>
      <c r="JW14" s="26">
        <v>5.1438254073192264E-4</v>
      </c>
      <c r="JX14" s="26">
        <v>5.1438254073192264E-4</v>
      </c>
      <c r="JY14" s="26">
        <v>5.1438254073192264E-4</v>
      </c>
      <c r="JZ14" s="26">
        <v>5.1438254073192264E-4</v>
      </c>
      <c r="KA14" s="26">
        <v>5.1438254073192264E-4</v>
      </c>
      <c r="KB14" s="26">
        <v>5.1438254073192264E-4</v>
      </c>
      <c r="KC14" s="26">
        <v>5.1438254073192264E-4</v>
      </c>
      <c r="KD14" s="26">
        <v>5.1438254073192264E-4</v>
      </c>
      <c r="KE14" s="26">
        <v>5.1438254073192264E-4</v>
      </c>
      <c r="KF14" s="26">
        <v>5.1438254073192264E-4</v>
      </c>
      <c r="KG14" s="26">
        <v>5.1438254073192264E-4</v>
      </c>
      <c r="KH14" s="26">
        <v>5.1438254073192264E-4</v>
      </c>
      <c r="KI14" s="26">
        <v>5.1438254073192264E-4</v>
      </c>
      <c r="KJ14" s="26">
        <v>5.1438254073192264E-4</v>
      </c>
      <c r="KK14" s="26">
        <v>5.1438254073192264E-4</v>
      </c>
      <c r="KL14" s="26">
        <v>5.1438254073192264E-4</v>
      </c>
      <c r="KM14" s="26">
        <v>5.1438254073192264E-4</v>
      </c>
      <c r="KN14" s="26">
        <v>5.1438254073192264E-4</v>
      </c>
      <c r="KO14" s="26">
        <v>5.1438254073192264E-4</v>
      </c>
      <c r="KP14" s="26">
        <v>5.1438254073192264E-4</v>
      </c>
      <c r="KQ14" s="26">
        <v>5.1438254073192264E-4</v>
      </c>
      <c r="KR14" s="26">
        <v>5.1438254073192264E-4</v>
      </c>
      <c r="KS14" s="26">
        <v>0</v>
      </c>
    </row>
    <row r="15" spans="1:305" ht="12" customHeight="1" x14ac:dyDescent="0.35">
      <c r="A15" s="14"/>
      <c r="B15" s="14"/>
      <c r="C15" s="14"/>
      <c r="D15" s="14"/>
      <c r="E15" s="14"/>
      <c r="F15" s="15"/>
      <c r="G15" s="15"/>
      <c r="H15" s="15"/>
      <c r="I15" s="15"/>
      <c r="J15" s="15"/>
      <c r="K15" s="15"/>
      <c r="L15" s="15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/>
      <c r="DL15" s="14"/>
      <c r="DM15" s="14"/>
      <c r="DN15" s="14"/>
      <c r="DO15" s="14"/>
      <c r="DP15" s="14"/>
      <c r="DQ15" s="14"/>
      <c r="DR15" s="14"/>
      <c r="DS15" s="14"/>
      <c r="DT15" s="14"/>
      <c r="DU15" s="14"/>
      <c r="DV15" s="14"/>
      <c r="DW15" s="14"/>
      <c r="DX15" s="14"/>
      <c r="DY15" s="14"/>
      <c r="DZ15" s="14"/>
      <c r="EA15" s="14"/>
      <c r="EB15" s="14"/>
      <c r="EC15" s="14"/>
      <c r="ED15" s="14"/>
      <c r="EE15" s="14"/>
      <c r="EF15" s="14"/>
      <c r="EG15" s="14"/>
      <c r="EH15" s="14"/>
      <c r="EI15" s="14"/>
      <c r="EJ15" s="14"/>
      <c r="EK15" s="14"/>
      <c r="EL15" s="14"/>
      <c r="EM15" s="14"/>
      <c r="EN15" s="14"/>
      <c r="EO15" s="14"/>
      <c r="EP15" s="14"/>
      <c r="EQ15" s="14"/>
      <c r="ER15" s="14"/>
      <c r="ES15" s="14"/>
      <c r="ET15" s="14"/>
      <c r="EU15" s="14"/>
      <c r="EV15" s="14"/>
      <c r="EW15" s="14"/>
      <c r="EX15" s="14"/>
      <c r="EY15" s="14"/>
      <c r="EZ15" s="14"/>
      <c r="FA15" s="14"/>
      <c r="FB15" s="14"/>
      <c r="FC15" s="14"/>
      <c r="FD15" s="14"/>
      <c r="FE15" s="14"/>
      <c r="FF15" s="14"/>
      <c r="FG15" s="14"/>
      <c r="FH15" s="14"/>
      <c r="FI15" s="14"/>
      <c r="FJ15" s="14"/>
      <c r="FK15" s="14"/>
      <c r="FL15" s="14"/>
      <c r="FM15" s="14"/>
      <c r="FN15" s="14"/>
      <c r="FO15" s="14"/>
      <c r="FP15" s="14"/>
      <c r="FQ15" s="14"/>
      <c r="FR15" s="14"/>
      <c r="FS15" s="14"/>
      <c r="FT15" s="14"/>
      <c r="FU15" s="14"/>
      <c r="FV15" s="14"/>
      <c r="FW15" s="14"/>
      <c r="FX15" s="14"/>
      <c r="FY15" s="14"/>
      <c r="FZ15" s="14"/>
      <c r="GA15" s="14"/>
      <c r="GB15" s="14"/>
      <c r="GC15" s="14"/>
      <c r="GD15" s="14"/>
      <c r="GE15" s="14"/>
      <c r="GF15" s="14"/>
      <c r="GG15" s="14"/>
      <c r="GH15" s="14"/>
      <c r="GI15" s="14"/>
      <c r="GJ15" s="14"/>
      <c r="GK15" s="14"/>
      <c r="GL15" s="14"/>
      <c r="GM15" s="14"/>
      <c r="GN15" s="14"/>
      <c r="GO15" s="14"/>
      <c r="GP15" s="14"/>
      <c r="GQ15" s="14"/>
      <c r="GR15" s="14"/>
      <c r="GS15" s="14"/>
      <c r="GT15" s="14"/>
      <c r="GU15" s="14"/>
      <c r="GV15" s="14"/>
      <c r="GW15" s="14"/>
      <c r="GX15" s="14"/>
      <c r="GY15" s="14"/>
      <c r="GZ15" s="14"/>
      <c r="HA15" s="14"/>
      <c r="HB15" s="14"/>
      <c r="HC15" s="14"/>
      <c r="HD15" s="14"/>
      <c r="HE15" s="14"/>
      <c r="HF15" s="14"/>
      <c r="HG15" s="14"/>
      <c r="HH15" s="14"/>
      <c r="HI15" s="14"/>
      <c r="HJ15" s="14"/>
      <c r="HK15" s="14"/>
      <c r="HL15" s="14"/>
      <c r="HM15" s="14"/>
      <c r="HN15" s="14"/>
      <c r="HO15" s="14"/>
      <c r="HP15" s="14"/>
      <c r="HQ15" s="14"/>
      <c r="HR15" s="14"/>
      <c r="HS15" s="14"/>
      <c r="HT15" s="14"/>
      <c r="HU15" s="14"/>
      <c r="HV15" s="14"/>
      <c r="HW15" s="14"/>
      <c r="HX15" s="14"/>
      <c r="HY15" s="14"/>
      <c r="HZ15" s="14"/>
      <c r="IA15" s="14"/>
      <c r="IB15" s="14"/>
      <c r="IC15" s="14"/>
      <c r="ID15" s="14"/>
      <c r="IE15" s="14"/>
      <c r="IF15" s="14"/>
      <c r="IG15" s="14"/>
      <c r="IH15" s="14"/>
      <c r="II15" s="14"/>
      <c r="IJ15" s="14"/>
      <c r="IK15" s="14"/>
      <c r="IL15" s="14"/>
      <c r="IM15" s="14"/>
      <c r="IN15" s="14"/>
      <c r="IO15" s="14"/>
      <c r="IP15" s="14"/>
      <c r="IQ15" s="14"/>
      <c r="IR15" s="14"/>
      <c r="IS15" s="14"/>
      <c r="IT15" s="14"/>
      <c r="IU15" s="14"/>
      <c r="IV15" s="14"/>
      <c r="IW15" s="14"/>
      <c r="IX15" s="14"/>
      <c r="IY15" s="14"/>
      <c r="IZ15" s="14"/>
      <c r="JA15" s="14"/>
      <c r="JB15" s="14"/>
      <c r="JC15" s="14"/>
      <c r="JD15" s="14"/>
      <c r="JE15" s="14"/>
      <c r="JF15" s="14"/>
      <c r="JG15" s="14"/>
      <c r="JH15" s="14"/>
      <c r="JI15" s="14"/>
      <c r="JJ15" s="14"/>
      <c r="JK15" s="14"/>
      <c r="JL15" s="14"/>
      <c r="JM15" s="14"/>
      <c r="JN15" s="14"/>
      <c r="JO15" s="14"/>
      <c r="JP15" s="14"/>
      <c r="JQ15" s="14"/>
      <c r="JR15" s="14"/>
      <c r="JS15" s="14"/>
      <c r="JT15" s="14"/>
      <c r="JU15" s="14"/>
      <c r="JV15" s="14"/>
      <c r="JW15" s="14"/>
      <c r="JX15" s="14"/>
      <c r="JY15" s="14"/>
      <c r="JZ15" s="14"/>
      <c r="KA15" s="14"/>
      <c r="KB15" s="14"/>
      <c r="KC15" s="14"/>
      <c r="KD15" s="14"/>
      <c r="KE15" s="14"/>
      <c r="KF15" s="14"/>
      <c r="KG15" s="14"/>
      <c r="KH15" s="14"/>
      <c r="KI15" s="14"/>
      <c r="KJ15" s="14"/>
      <c r="KK15" s="14"/>
      <c r="KL15" s="14"/>
      <c r="KM15" s="14"/>
      <c r="KN15" s="14"/>
      <c r="KO15" s="14"/>
      <c r="KP15" s="14"/>
      <c r="KQ15" s="14"/>
      <c r="KR15" s="14"/>
      <c r="KS15" s="14"/>
    </row>
    <row r="16" spans="1:305" ht="12" customHeight="1" x14ac:dyDescent="0.35">
      <c r="A16" s="14"/>
      <c r="B16" s="16" t="s">
        <v>414</v>
      </c>
      <c r="C16" s="17" t="s">
        <v>34</v>
      </c>
      <c r="D16" s="14"/>
      <c r="E16" s="17" t="s">
        <v>35</v>
      </c>
      <c r="F16" s="18">
        <v>9.3173584871124301E-2</v>
      </c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s="14"/>
      <c r="DG16" s="14"/>
      <c r="DH16" s="14"/>
      <c r="DI16" s="14"/>
      <c r="DJ16" s="14"/>
      <c r="DK16" s="14"/>
      <c r="DL16" s="14"/>
      <c r="DM16" s="14"/>
      <c r="DN16" s="14"/>
      <c r="DO16" s="14"/>
      <c r="DP16" s="14"/>
      <c r="DQ16" s="14"/>
      <c r="DR16" s="14"/>
      <c r="DS16" s="14"/>
      <c r="DT16" s="14"/>
      <c r="DU16" s="14"/>
      <c r="DV16" s="14"/>
      <c r="DW16" s="14"/>
      <c r="DX16" s="14"/>
      <c r="DY16" s="14"/>
      <c r="DZ16" s="14"/>
      <c r="EA16" s="14"/>
      <c r="EB16" s="14"/>
      <c r="EC16" s="14"/>
      <c r="ED16" s="14"/>
      <c r="EE16" s="14"/>
      <c r="EF16" s="14"/>
      <c r="EG16" s="14"/>
      <c r="EH16" s="14"/>
      <c r="EI16" s="14"/>
      <c r="EJ16" s="14"/>
      <c r="EK16" s="14"/>
      <c r="EL16" s="14"/>
      <c r="EM16" s="14"/>
      <c r="EN16" s="14"/>
      <c r="EO16" s="14"/>
      <c r="EP16" s="14"/>
      <c r="EQ16" s="14"/>
      <c r="ER16" s="14"/>
      <c r="ES16" s="14"/>
      <c r="ET16" s="14"/>
      <c r="EU16" s="14"/>
      <c r="EV16" s="14"/>
      <c r="EW16" s="14"/>
      <c r="EX16" s="14"/>
      <c r="EY16" s="14"/>
      <c r="EZ16" s="14"/>
      <c r="FA16" s="14"/>
      <c r="FB16" s="14"/>
      <c r="FC16" s="14"/>
      <c r="FD16" s="14"/>
      <c r="FE16" s="14"/>
      <c r="FF16" s="14"/>
      <c r="FG16" s="14"/>
      <c r="FH16" s="14"/>
      <c r="FI16" s="14"/>
      <c r="FJ16" s="14"/>
      <c r="FK16" s="14"/>
      <c r="FL16" s="14"/>
      <c r="FM16" s="14"/>
      <c r="FN16" s="14"/>
      <c r="FO16" s="14"/>
      <c r="FP16" s="14"/>
      <c r="FQ16" s="14"/>
      <c r="FR16" s="14"/>
      <c r="FS16" s="14"/>
      <c r="FT16" s="14"/>
      <c r="FU16" s="14"/>
      <c r="FV16" s="14"/>
      <c r="FW16" s="14"/>
      <c r="FX16" s="14"/>
      <c r="FY16" s="14"/>
      <c r="FZ16" s="14"/>
      <c r="GA16" s="14"/>
      <c r="GB16" s="14"/>
      <c r="GC16" s="14"/>
      <c r="GD16" s="14"/>
      <c r="GE16" s="14"/>
      <c r="GF16" s="14"/>
      <c r="GG16" s="14"/>
      <c r="GH16" s="14"/>
      <c r="GI16" s="14"/>
      <c r="GJ16" s="14"/>
      <c r="GK16" s="14"/>
      <c r="GL16" s="14"/>
      <c r="GM16" s="14"/>
      <c r="GN16" s="14"/>
      <c r="GO16" s="14"/>
      <c r="GP16" s="14"/>
      <c r="GQ16" s="14"/>
      <c r="GR16" s="14"/>
      <c r="GS16" s="14"/>
      <c r="GT16" s="14"/>
      <c r="GU16" s="14"/>
      <c r="GV16" s="14"/>
      <c r="GW16" s="14"/>
      <c r="GX16" s="14"/>
      <c r="GY16" s="14"/>
      <c r="GZ16" s="14"/>
      <c r="HA16" s="14"/>
      <c r="HB16" s="14"/>
      <c r="HC16" s="14"/>
      <c r="HD16" s="14"/>
      <c r="HE16" s="14"/>
      <c r="HF16" s="14"/>
      <c r="HG16" s="14"/>
      <c r="HH16" s="14"/>
      <c r="HI16" s="14"/>
      <c r="HJ16" s="14"/>
      <c r="HK16" s="14"/>
      <c r="HL16" s="14"/>
      <c r="HM16" s="14"/>
      <c r="HN16" s="14"/>
      <c r="HO16" s="14"/>
      <c r="HP16" s="14"/>
      <c r="HQ16" s="14"/>
      <c r="HR16" s="14"/>
      <c r="HS16" s="14"/>
      <c r="HT16" s="14"/>
      <c r="HU16" s="14"/>
      <c r="HV16" s="14"/>
      <c r="HW16" s="14"/>
      <c r="HX16" s="14"/>
      <c r="HY16" s="14"/>
      <c r="HZ16" s="14"/>
      <c r="IA16" s="14"/>
      <c r="IB16" s="14"/>
      <c r="IC16" s="14"/>
      <c r="ID16" s="14"/>
      <c r="IE16" s="14"/>
      <c r="IF16" s="14"/>
      <c r="IG16" s="14"/>
      <c r="IH16" s="14"/>
      <c r="II16" s="14"/>
      <c r="IJ16" s="14"/>
      <c r="IK16" s="14"/>
      <c r="IL16" s="14"/>
      <c r="IM16" s="14"/>
      <c r="IN16" s="14"/>
      <c r="IO16" s="14"/>
      <c r="IP16" s="14"/>
      <c r="IQ16" s="14"/>
      <c r="IR16" s="14"/>
      <c r="IS16" s="14"/>
      <c r="IT16" s="14"/>
      <c r="IU16" s="14"/>
      <c r="IV16" s="14"/>
      <c r="IW16" s="14"/>
      <c r="IX16" s="14"/>
      <c r="IY16" s="14"/>
      <c r="IZ16" s="14"/>
      <c r="JA16" s="14"/>
      <c r="JB16" s="14"/>
      <c r="JC16" s="14"/>
      <c r="JD16" s="14"/>
      <c r="JE16" s="14"/>
      <c r="JF16" s="14"/>
      <c r="JG16" s="14"/>
      <c r="JH16" s="14"/>
      <c r="JI16" s="14"/>
      <c r="JJ16" s="14"/>
      <c r="JK16" s="14"/>
      <c r="JL16" s="14"/>
      <c r="JM16" s="14"/>
      <c r="JN16" s="14"/>
      <c r="JO16" s="14"/>
      <c r="JP16" s="14"/>
      <c r="JQ16" s="14"/>
      <c r="JR16" s="14"/>
      <c r="JS16" s="14"/>
      <c r="JT16" s="14"/>
      <c r="JU16" s="14"/>
      <c r="JV16" s="14"/>
      <c r="JW16" s="14"/>
      <c r="JX16" s="14"/>
      <c r="JY16" s="14"/>
      <c r="JZ16" s="14"/>
      <c r="KA16" s="14"/>
      <c r="KB16" s="14"/>
      <c r="KC16" s="14"/>
      <c r="KD16" s="14"/>
      <c r="KE16" s="14"/>
      <c r="KF16" s="14"/>
      <c r="KG16" s="14"/>
      <c r="KH16" s="14"/>
      <c r="KI16" s="14"/>
      <c r="KJ16" s="14"/>
      <c r="KK16" s="14"/>
      <c r="KL16" s="14"/>
      <c r="KM16" s="14"/>
      <c r="KN16" s="14"/>
      <c r="KO16" s="14"/>
      <c r="KP16" s="14"/>
      <c r="KQ16" s="14"/>
      <c r="KR16" s="14"/>
      <c r="KS16" s="14"/>
    </row>
    <row r="17" spans="1:305" ht="12" customHeight="1" x14ac:dyDescent="0.35">
      <c r="A17" s="14"/>
      <c r="B17" s="14"/>
      <c r="C17" s="14"/>
      <c r="D17" s="14"/>
      <c r="E17" s="20" t="s">
        <v>18</v>
      </c>
      <c r="F17" s="21" t="s">
        <v>36</v>
      </c>
      <c r="G17" s="21" t="s">
        <v>37</v>
      </c>
      <c r="H17" s="21" t="s">
        <v>38</v>
      </c>
      <c r="I17" s="21" t="s">
        <v>39</v>
      </c>
      <c r="J17" s="21" t="s">
        <v>40</v>
      </c>
      <c r="K17" s="21" t="s">
        <v>41</v>
      </c>
      <c r="L17" s="21" t="s">
        <v>42</v>
      </c>
      <c r="M17" s="21" t="s">
        <v>43</v>
      </c>
      <c r="N17" s="21" t="s">
        <v>44</v>
      </c>
      <c r="O17" s="21" t="s">
        <v>45</v>
      </c>
      <c r="P17" s="21" t="s">
        <v>46</v>
      </c>
      <c r="Q17" s="21" t="s">
        <v>47</v>
      </c>
      <c r="R17" s="21" t="s">
        <v>48</v>
      </c>
      <c r="S17" s="21" t="s">
        <v>49</v>
      </c>
      <c r="T17" s="21" t="s">
        <v>50</v>
      </c>
      <c r="U17" s="21" t="s">
        <v>51</v>
      </c>
      <c r="V17" s="21" t="s">
        <v>52</v>
      </c>
      <c r="W17" s="21" t="s">
        <v>53</v>
      </c>
      <c r="X17" s="21" t="s">
        <v>54</v>
      </c>
      <c r="Y17" s="21" t="s">
        <v>55</v>
      </c>
      <c r="Z17" s="21" t="s">
        <v>56</v>
      </c>
      <c r="AA17" s="21" t="s">
        <v>57</v>
      </c>
      <c r="AB17" s="21" t="s">
        <v>58</v>
      </c>
      <c r="AC17" s="21" t="s">
        <v>59</v>
      </c>
      <c r="AD17" s="22" t="s">
        <v>60</v>
      </c>
      <c r="AE17" s="22" t="s">
        <v>61</v>
      </c>
      <c r="AF17" s="22" t="s">
        <v>62</v>
      </c>
      <c r="AG17" s="22" t="s">
        <v>63</v>
      </c>
      <c r="AH17" s="22" t="s">
        <v>64</v>
      </c>
      <c r="AI17" s="22" t="s">
        <v>65</v>
      </c>
      <c r="AJ17" s="22" t="s">
        <v>66</v>
      </c>
      <c r="AK17" s="22" t="s">
        <v>67</v>
      </c>
      <c r="AL17" s="22" t="s">
        <v>68</v>
      </c>
      <c r="AM17" s="22" t="s">
        <v>69</v>
      </c>
      <c r="AN17" s="22" t="s">
        <v>70</v>
      </c>
      <c r="AO17" s="22" t="s">
        <v>71</v>
      </c>
      <c r="AP17" s="22" t="s">
        <v>72</v>
      </c>
      <c r="AQ17" s="22" t="s">
        <v>73</v>
      </c>
      <c r="AR17" s="22" t="s">
        <v>74</v>
      </c>
      <c r="AS17" s="22" t="s">
        <v>75</v>
      </c>
      <c r="AT17" s="22" t="s">
        <v>76</v>
      </c>
      <c r="AU17" s="22" t="s">
        <v>77</v>
      </c>
      <c r="AV17" s="22" t="s">
        <v>78</v>
      </c>
      <c r="AW17" s="22" t="s">
        <v>79</v>
      </c>
      <c r="AX17" s="22" t="s">
        <v>80</v>
      </c>
      <c r="AY17" s="22" t="s">
        <v>81</v>
      </c>
      <c r="AZ17" s="22" t="s">
        <v>82</v>
      </c>
      <c r="BA17" s="22" t="s">
        <v>83</v>
      </c>
      <c r="BB17" s="22" t="s">
        <v>84</v>
      </c>
      <c r="BC17" s="22" t="s">
        <v>85</v>
      </c>
      <c r="BD17" s="22" t="s">
        <v>86</v>
      </c>
      <c r="BE17" s="22" t="s">
        <v>87</v>
      </c>
      <c r="BF17" s="22" t="s">
        <v>88</v>
      </c>
      <c r="BG17" s="22" t="s">
        <v>89</v>
      </c>
      <c r="BH17" s="22" t="s">
        <v>90</v>
      </c>
      <c r="BI17" s="22" t="s">
        <v>91</v>
      </c>
      <c r="BJ17" s="22" t="s">
        <v>92</v>
      </c>
      <c r="BK17" s="22" t="s">
        <v>93</v>
      </c>
      <c r="BL17" s="22" t="s">
        <v>94</v>
      </c>
      <c r="BM17" s="22" t="s">
        <v>95</v>
      </c>
      <c r="BN17" s="22" t="s">
        <v>96</v>
      </c>
      <c r="BO17" s="22" t="s">
        <v>97</v>
      </c>
      <c r="BP17" s="22" t="s">
        <v>98</v>
      </c>
      <c r="BQ17" s="22" t="s">
        <v>99</v>
      </c>
      <c r="BR17" s="22" t="s">
        <v>100</v>
      </c>
      <c r="BS17" s="22" t="s">
        <v>101</v>
      </c>
      <c r="BT17" s="22" t="s">
        <v>102</v>
      </c>
      <c r="BU17" s="22" t="s">
        <v>103</v>
      </c>
      <c r="BV17" s="22" t="s">
        <v>104</v>
      </c>
      <c r="BW17" s="22" t="s">
        <v>105</v>
      </c>
      <c r="BX17" s="22" t="s">
        <v>106</v>
      </c>
      <c r="BY17" s="22" t="s">
        <v>107</v>
      </c>
      <c r="BZ17" s="22" t="s">
        <v>108</v>
      </c>
      <c r="CA17" s="22" t="s">
        <v>109</v>
      </c>
      <c r="CB17" s="22" t="s">
        <v>110</v>
      </c>
      <c r="CC17" s="22" t="s">
        <v>111</v>
      </c>
      <c r="CD17" s="22" t="s">
        <v>112</v>
      </c>
      <c r="CE17" s="22" t="s">
        <v>113</v>
      </c>
      <c r="CF17" s="22" t="s">
        <v>114</v>
      </c>
      <c r="CG17" s="22" t="s">
        <v>115</v>
      </c>
      <c r="CH17" s="22" t="s">
        <v>116</v>
      </c>
      <c r="CI17" s="22" t="s">
        <v>117</v>
      </c>
      <c r="CJ17" s="22" t="s">
        <v>118</v>
      </c>
      <c r="CK17" s="22" t="s">
        <v>119</v>
      </c>
      <c r="CL17" s="22" t="s">
        <v>120</v>
      </c>
      <c r="CM17" s="22" t="s">
        <v>121</v>
      </c>
      <c r="CN17" s="22" t="s">
        <v>122</v>
      </c>
      <c r="CO17" s="22" t="s">
        <v>123</v>
      </c>
      <c r="CP17" s="22" t="s">
        <v>124</v>
      </c>
      <c r="CQ17" s="22" t="s">
        <v>125</v>
      </c>
      <c r="CR17" s="22" t="s">
        <v>126</v>
      </c>
      <c r="CS17" s="22" t="s">
        <v>127</v>
      </c>
      <c r="CT17" s="22" t="s">
        <v>128</v>
      </c>
      <c r="CU17" s="22" t="s">
        <v>129</v>
      </c>
      <c r="CV17" s="22" t="s">
        <v>130</v>
      </c>
      <c r="CW17" s="22" t="s">
        <v>131</v>
      </c>
      <c r="CX17" s="22" t="s">
        <v>132</v>
      </c>
      <c r="CY17" s="22" t="s">
        <v>133</v>
      </c>
      <c r="CZ17" s="22" t="s">
        <v>134</v>
      </c>
      <c r="DA17" s="22" t="s">
        <v>135</v>
      </c>
      <c r="DB17" s="22" t="s">
        <v>136</v>
      </c>
      <c r="DC17" s="22" t="s">
        <v>137</v>
      </c>
      <c r="DD17" s="22" t="s">
        <v>138</v>
      </c>
      <c r="DE17" s="22" t="s">
        <v>139</v>
      </c>
      <c r="DF17" s="22" t="s">
        <v>140</v>
      </c>
      <c r="DG17" s="22" t="s">
        <v>141</v>
      </c>
      <c r="DH17" s="22" t="s">
        <v>142</v>
      </c>
      <c r="DI17" s="22" t="s">
        <v>143</v>
      </c>
      <c r="DJ17" s="22" t="s">
        <v>144</v>
      </c>
      <c r="DK17" s="22" t="s">
        <v>145</v>
      </c>
      <c r="DL17" s="22" t="s">
        <v>146</v>
      </c>
      <c r="DM17" s="22" t="s">
        <v>147</v>
      </c>
      <c r="DN17" s="22" t="s">
        <v>148</v>
      </c>
      <c r="DO17" s="22" t="s">
        <v>149</v>
      </c>
      <c r="DP17" s="22" t="s">
        <v>150</v>
      </c>
      <c r="DQ17" s="22" t="s">
        <v>151</v>
      </c>
      <c r="DR17" s="22" t="s">
        <v>152</v>
      </c>
      <c r="DS17" s="22" t="s">
        <v>153</v>
      </c>
      <c r="DT17" s="22" t="s">
        <v>154</v>
      </c>
      <c r="DU17" s="22" t="s">
        <v>155</v>
      </c>
      <c r="DV17" s="22" t="s">
        <v>156</v>
      </c>
      <c r="DW17" s="22" t="s">
        <v>157</v>
      </c>
      <c r="DX17" s="22" t="s">
        <v>158</v>
      </c>
      <c r="DY17" s="22" t="s">
        <v>159</v>
      </c>
      <c r="DZ17" s="22" t="s">
        <v>160</v>
      </c>
      <c r="EA17" s="22" t="s">
        <v>161</v>
      </c>
      <c r="EB17" s="22" t="s">
        <v>162</v>
      </c>
      <c r="EC17" s="22" t="s">
        <v>163</v>
      </c>
      <c r="ED17" s="22" t="s">
        <v>164</v>
      </c>
      <c r="EE17" s="22" t="s">
        <v>165</v>
      </c>
      <c r="EF17" s="22" t="s">
        <v>166</v>
      </c>
      <c r="EG17" s="22" t="s">
        <v>167</v>
      </c>
      <c r="EH17" s="22" t="s">
        <v>168</v>
      </c>
      <c r="EI17" s="22" t="s">
        <v>169</v>
      </c>
      <c r="EJ17" s="22" t="s">
        <v>170</v>
      </c>
      <c r="EK17" s="22" t="s">
        <v>171</v>
      </c>
      <c r="EL17" s="22" t="s">
        <v>172</v>
      </c>
      <c r="EM17" s="22" t="s">
        <v>173</v>
      </c>
      <c r="EN17" s="22" t="s">
        <v>174</v>
      </c>
      <c r="EO17" s="22" t="s">
        <v>175</v>
      </c>
      <c r="EP17" s="22" t="s">
        <v>176</v>
      </c>
      <c r="EQ17" s="22" t="s">
        <v>177</v>
      </c>
      <c r="ER17" s="22" t="s">
        <v>178</v>
      </c>
      <c r="ES17" s="22" t="s">
        <v>179</v>
      </c>
      <c r="ET17" s="22" t="s">
        <v>180</v>
      </c>
      <c r="EU17" s="22" t="s">
        <v>181</v>
      </c>
      <c r="EV17" s="22" t="s">
        <v>182</v>
      </c>
      <c r="EW17" s="22" t="s">
        <v>183</v>
      </c>
      <c r="EX17" s="22" t="s">
        <v>184</v>
      </c>
      <c r="EY17" s="22" t="s">
        <v>185</v>
      </c>
      <c r="EZ17" s="22" t="s">
        <v>186</v>
      </c>
      <c r="FA17" s="22" t="s">
        <v>187</v>
      </c>
      <c r="FB17" s="22" t="s">
        <v>188</v>
      </c>
      <c r="FC17" s="22" t="s">
        <v>189</v>
      </c>
      <c r="FD17" s="22" t="s">
        <v>190</v>
      </c>
      <c r="FE17" s="22" t="s">
        <v>191</v>
      </c>
      <c r="FF17" s="23" t="s">
        <v>192</v>
      </c>
      <c r="FG17" s="23" t="s">
        <v>193</v>
      </c>
      <c r="FH17" s="23" t="s">
        <v>194</v>
      </c>
      <c r="FI17" s="23" t="s">
        <v>195</v>
      </c>
      <c r="FJ17" s="23" t="s">
        <v>196</v>
      </c>
      <c r="FK17" s="23" t="s">
        <v>197</v>
      </c>
      <c r="FL17" s="23" t="s">
        <v>198</v>
      </c>
      <c r="FM17" s="23" t="s">
        <v>199</v>
      </c>
      <c r="FN17" s="23" t="s">
        <v>200</v>
      </c>
      <c r="FO17" s="23" t="s">
        <v>201</v>
      </c>
      <c r="FP17" s="23" t="s">
        <v>202</v>
      </c>
      <c r="FQ17" s="23" t="s">
        <v>203</v>
      </c>
      <c r="FR17" s="23" t="s">
        <v>204</v>
      </c>
      <c r="FS17" s="23" t="s">
        <v>205</v>
      </c>
      <c r="FT17" s="23" t="s">
        <v>206</v>
      </c>
      <c r="FU17" s="23" t="s">
        <v>207</v>
      </c>
      <c r="FV17" s="23" t="s">
        <v>208</v>
      </c>
      <c r="FW17" s="23" t="s">
        <v>209</v>
      </c>
      <c r="FX17" s="23" t="s">
        <v>210</v>
      </c>
      <c r="FY17" s="23" t="s">
        <v>211</v>
      </c>
      <c r="FZ17" s="23" t="s">
        <v>212</v>
      </c>
      <c r="GA17" s="23" t="s">
        <v>213</v>
      </c>
      <c r="GB17" s="23" t="s">
        <v>214</v>
      </c>
      <c r="GC17" s="23" t="s">
        <v>215</v>
      </c>
      <c r="GD17" s="23" t="s">
        <v>216</v>
      </c>
      <c r="GE17" s="23" t="s">
        <v>217</v>
      </c>
      <c r="GF17" s="23" t="s">
        <v>218</v>
      </c>
      <c r="GG17" s="23" t="s">
        <v>219</v>
      </c>
      <c r="GH17" s="23" t="s">
        <v>220</v>
      </c>
      <c r="GI17" s="23" t="s">
        <v>221</v>
      </c>
      <c r="GJ17" s="23" t="s">
        <v>222</v>
      </c>
      <c r="GK17" s="23" t="s">
        <v>223</v>
      </c>
      <c r="GL17" s="23" t="s">
        <v>224</v>
      </c>
      <c r="GM17" s="23" t="s">
        <v>225</v>
      </c>
      <c r="GN17" s="23" t="s">
        <v>226</v>
      </c>
      <c r="GO17" s="23" t="s">
        <v>227</v>
      </c>
      <c r="GP17" s="23" t="s">
        <v>228</v>
      </c>
      <c r="GQ17" s="23" t="s">
        <v>229</v>
      </c>
      <c r="GR17" s="23" t="s">
        <v>230</v>
      </c>
      <c r="GS17" s="23" t="s">
        <v>231</v>
      </c>
      <c r="GT17" s="23" t="s">
        <v>232</v>
      </c>
      <c r="GU17" s="23" t="s">
        <v>233</v>
      </c>
      <c r="GV17" s="23" t="s">
        <v>234</v>
      </c>
      <c r="GW17" s="23" t="s">
        <v>235</v>
      </c>
      <c r="GX17" s="23" t="s">
        <v>236</v>
      </c>
      <c r="GY17" s="23" t="s">
        <v>237</v>
      </c>
      <c r="GZ17" s="23" t="s">
        <v>238</v>
      </c>
      <c r="HA17" s="23" t="s">
        <v>239</v>
      </c>
      <c r="HB17" s="23" t="s">
        <v>240</v>
      </c>
      <c r="HC17" s="23" t="s">
        <v>241</v>
      </c>
      <c r="HD17" s="23" t="s">
        <v>242</v>
      </c>
      <c r="HE17" s="23" t="s">
        <v>243</v>
      </c>
      <c r="HF17" s="23" t="s">
        <v>244</v>
      </c>
      <c r="HG17" s="23" t="s">
        <v>245</v>
      </c>
      <c r="HH17" s="23" t="s">
        <v>246</v>
      </c>
      <c r="HI17" s="23" t="s">
        <v>247</v>
      </c>
      <c r="HJ17" s="23" t="s">
        <v>248</v>
      </c>
      <c r="HK17" s="23" t="s">
        <v>249</v>
      </c>
      <c r="HL17" s="23" t="s">
        <v>250</v>
      </c>
      <c r="HM17" s="23" t="s">
        <v>251</v>
      </c>
      <c r="HN17" s="23" t="s">
        <v>252</v>
      </c>
      <c r="HO17" s="23" t="s">
        <v>253</v>
      </c>
      <c r="HP17" s="23" t="s">
        <v>254</v>
      </c>
      <c r="HQ17" s="23" t="s">
        <v>255</v>
      </c>
      <c r="HR17" s="23" t="s">
        <v>256</v>
      </c>
      <c r="HS17" s="23" t="s">
        <v>257</v>
      </c>
      <c r="HT17" s="23" t="s">
        <v>258</v>
      </c>
      <c r="HU17" s="23" t="s">
        <v>259</v>
      </c>
      <c r="HV17" s="23" t="s">
        <v>260</v>
      </c>
      <c r="HW17" s="23" t="s">
        <v>261</v>
      </c>
      <c r="HX17" s="23" t="s">
        <v>262</v>
      </c>
      <c r="HY17" s="23" t="s">
        <v>263</v>
      </c>
      <c r="HZ17" s="23" t="s">
        <v>264</v>
      </c>
      <c r="IA17" s="23" t="s">
        <v>265</v>
      </c>
      <c r="IB17" s="23" t="s">
        <v>266</v>
      </c>
      <c r="IC17" s="23" t="s">
        <v>267</v>
      </c>
      <c r="ID17" s="23" t="s">
        <v>268</v>
      </c>
      <c r="IE17" s="23" t="s">
        <v>269</v>
      </c>
      <c r="IF17" s="23" t="s">
        <v>270</v>
      </c>
      <c r="IG17" s="23" t="s">
        <v>271</v>
      </c>
      <c r="IH17" s="23" t="s">
        <v>272</v>
      </c>
      <c r="II17" s="23" t="s">
        <v>273</v>
      </c>
      <c r="IJ17" s="23" t="s">
        <v>274</v>
      </c>
      <c r="IK17" s="23" t="s">
        <v>275</v>
      </c>
      <c r="IL17" s="27"/>
      <c r="IM17" s="27"/>
      <c r="IN17" s="27"/>
      <c r="IO17" s="27"/>
      <c r="IP17" s="27"/>
      <c r="IQ17" s="27"/>
      <c r="IR17" s="27"/>
      <c r="IS17" s="27"/>
      <c r="IT17" s="27"/>
      <c r="IU17" s="27"/>
      <c r="IV17" s="27"/>
      <c r="IW17" s="27"/>
      <c r="IX17" s="27"/>
      <c r="IY17" s="27"/>
      <c r="IZ17" s="27"/>
      <c r="JA17" s="27"/>
      <c r="JB17" s="27"/>
      <c r="JC17" s="27"/>
      <c r="JD17" s="27"/>
      <c r="JE17" s="27"/>
      <c r="JF17" s="27"/>
      <c r="JG17" s="27"/>
      <c r="JH17" s="27"/>
      <c r="JI17" s="27"/>
      <c r="JJ17" s="27"/>
      <c r="JK17" s="27"/>
      <c r="JL17" s="27"/>
      <c r="JM17" s="27"/>
      <c r="JN17" s="27"/>
      <c r="JO17" s="27"/>
      <c r="JP17" s="27"/>
      <c r="JQ17" s="27"/>
      <c r="JR17" s="27"/>
      <c r="JS17" s="27"/>
      <c r="JT17" s="27"/>
      <c r="JU17" s="27"/>
      <c r="JV17" s="27"/>
      <c r="JW17" s="27"/>
      <c r="JX17" s="27"/>
      <c r="JY17" s="27"/>
      <c r="JZ17" s="27"/>
      <c r="KA17" s="27"/>
      <c r="KB17" s="27"/>
      <c r="KC17" s="27"/>
      <c r="KD17" s="27"/>
      <c r="KE17" s="27"/>
      <c r="KF17" s="27"/>
      <c r="KG17" s="27"/>
      <c r="KH17" s="27"/>
      <c r="KI17" s="27"/>
      <c r="KJ17" s="27"/>
      <c r="KK17" s="27"/>
      <c r="KL17" s="27"/>
      <c r="KM17" s="27"/>
      <c r="KN17" s="27"/>
      <c r="KO17" s="27"/>
      <c r="KP17" s="27"/>
      <c r="KQ17" s="27"/>
      <c r="KR17" s="27"/>
      <c r="KS17" s="27"/>
    </row>
    <row r="18" spans="1:305" ht="12" customHeight="1" x14ac:dyDescent="0.35">
      <c r="A18" s="14"/>
      <c r="B18" s="14"/>
      <c r="C18" s="14"/>
      <c r="D18" s="14"/>
      <c r="E18" s="14"/>
      <c r="F18" s="24">
        <v>1</v>
      </c>
      <c r="G18" s="25">
        <v>0.9511601814917976</v>
      </c>
      <c r="H18" s="25">
        <v>0.90232036298359519</v>
      </c>
      <c r="I18" s="25">
        <v>0.85348054447539279</v>
      </c>
      <c r="J18" s="25">
        <v>0.80464072596719038</v>
      </c>
      <c r="K18" s="25">
        <v>0.75580090745898798</v>
      </c>
      <c r="L18" s="25">
        <v>0.70696108895078558</v>
      </c>
      <c r="M18" s="25">
        <v>0.65812127044258317</v>
      </c>
      <c r="N18" s="25">
        <v>0.60928145193438077</v>
      </c>
      <c r="O18" s="25">
        <v>0.56044163342617836</v>
      </c>
      <c r="P18" s="25">
        <v>0.51160181491797596</v>
      </c>
      <c r="Q18" s="25">
        <v>0.46276199640977356</v>
      </c>
      <c r="R18" s="25">
        <v>0.4420442188190557</v>
      </c>
      <c r="S18" s="25">
        <v>0.42132644122833784</v>
      </c>
      <c r="T18" s="25">
        <v>0.40060866363761999</v>
      </c>
      <c r="U18" s="25">
        <v>0.37989088604690213</v>
      </c>
      <c r="V18" s="25">
        <v>0.35917310845618428</v>
      </c>
      <c r="W18" s="25">
        <v>0.33845533086546642</v>
      </c>
      <c r="X18" s="25">
        <v>0.31773755327474856</v>
      </c>
      <c r="Y18" s="25">
        <v>0.29701977568403071</v>
      </c>
      <c r="Z18" s="25">
        <v>0.27630199809331285</v>
      </c>
      <c r="AA18" s="25">
        <v>0.25558422050259499</v>
      </c>
      <c r="AB18" s="25">
        <v>0.23486644291187714</v>
      </c>
      <c r="AC18" s="25">
        <v>0.21414866532115928</v>
      </c>
      <c r="AD18" s="25">
        <v>0.20456126520210502</v>
      </c>
      <c r="AE18" s="25">
        <v>0.19497386508305076</v>
      </c>
      <c r="AF18" s="25">
        <v>0.18538646496399649</v>
      </c>
      <c r="AG18" s="25">
        <v>0.17579906484494223</v>
      </c>
      <c r="AH18" s="25">
        <v>0.16621166472588797</v>
      </c>
      <c r="AI18" s="25">
        <v>0.15662426460683371</v>
      </c>
      <c r="AJ18" s="25">
        <v>0.14703686448777945</v>
      </c>
      <c r="AK18" s="25">
        <v>0.13744946436872518</v>
      </c>
      <c r="AL18" s="25">
        <v>0.12786206424967092</v>
      </c>
      <c r="AM18" s="25">
        <v>0.11827466413061666</v>
      </c>
      <c r="AN18" s="25">
        <v>0.1086872640115624</v>
      </c>
      <c r="AO18" s="25">
        <v>9.9099863892508133E-2</v>
      </c>
      <c r="AP18" s="25">
        <v>9.4663179473035278E-2</v>
      </c>
      <c r="AQ18" s="25">
        <v>9.0226495053562422E-2</v>
      </c>
      <c r="AR18" s="25">
        <v>8.5789810634089567E-2</v>
      </c>
      <c r="AS18" s="25">
        <v>8.1353126214616711E-2</v>
      </c>
      <c r="AT18" s="25">
        <v>7.6916441795143856E-2</v>
      </c>
      <c r="AU18" s="25">
        <v>7.2479757375671E-2</v>
      </c>
      <c r="AV18" s="25">
        <v>6.8043072956198145E-2</v>
      </c>
      <c r="AW18" s="25">
        <v>6.3606388536725289E-2</v>
      </c>
      <c r="AX18" s="25">
        <v>5.9169704117252434E-2</v>
      </c>
      <c r="AY18" s="25">
        <v>5.4733019697779578E-2</v>
      </c>
      <c r="AZ18" s="25">
        <v>5.0296335278306722E-2</v>
      </c>
      <c r="BA18" s="25">
        <v>4.5859650858833867E-2</v>
      </c>
      <c r="BB18" s="25">
        <v>4.3806521919438471E-2</v>
      </c>
      <c r="BC18" s="25">
        <v>4.1753392980043075E-2</v>
      </c>
      <c r="BD18" s="25">
        <v>3.9700264040647679E-2</v>
      </c>
      <c r="BE18" s="25">
        <v>3.7647135101252283E-2</v>
      </c>
      <c r="BF18" s="25">
        <v>3.5594006161856886E-2</v>
      </c>
      <c r="BG18" s="25">
        <v>3.354087722246149E-2</v>
      </c>
      <c r="BH18" s="25">
        <v>3.1487748283066094E-2</v>
      </c>
      <c r="BI18" s="25">
        <v>2.9434619343670698E-2</v>
      </c>
      <c r="BJ18" s="25">
        <v>2.7381490404275302E-2</v>
      </c>
      <c r="BK18" s="25">
        <v>2.5328361464879906E-2</v>
      </c>
      <c r="BL18" s="25">
        <v>2.327523252548451E-2</v>
      </c>
      <c r="BM18" s="25">
        <v>2.1222103586089114E-2</v>
      </c>
      <c r="BN18" s="25">
        <v>2.0271993539207819E-2</v>
      </c>
      <c r="BO18" s="25">
        <v>1.9321883492326525E-2</v>
      </c>
      <c r="BP18" s="25">
        <v>1.837177344544523E-2</v>
      </c>
      <c r="BQ18" s="25">
        <v>1.7421663398563936E-2</v>
      </c>
      <c r="BR18" s="25">
        <v>1.6471553351682641E-2</v>
      </c>
      <c r="BS18" s="25">
        <v>1.5521443304801347E-2</v>
      </c>
      <c r="BT18" s="25">
        <v>1.4571333257920052E-2</v>
      </c>
      <c r="BU18" s="25">
        <v>1.3621223211038758E-2</v>
      </c>
      <c r="BV18" s="25">
        <v>1.2671113164157463E-2</v>
      </c>
      <c r="BW18" s="25">
        <v>1.1721003117276169E-2</v>
      </c>
      <c r="BX18" s="25">
        <v>1.0770893070394874E-2</v>
      </c>
      <c r="BY18" s="25">
        <v>9.8207830235135796E-3</v>
      </c>
      <c r="BZ18" s="25">
        <v>9.3811082014098081E-3</v>
      </c>
      <c r="CA18" s="25">
        <v>8.9414333793060366E-3</v>
      </c>
      <c r="CB18" s="25">
        <v>8.5017585572022651E-3</v>
      </c>
      <c r="CC18" s="25">
        <v>8.0620837350984936E-3</v>
      </c>
      <c r="CD18" s="25">
        <v>7.6224089129947221E-3</v>
      </c>
      <c r="CE18" s="25">
        <v>7.1827340908909507E-3</v>
      </c>
      <c r="CF18" s="25">
        <v>6.7430592687871792E-3</v>
      </c>
      <c r="CG18" s="25">
        <v>6.3033844466834077E-3</v>
      </c>
      <c r="CH18" s="25">
        <v>5.8637096245796362E-3</v>
      </c>
      <c r="CI18" s="25">
        <v>5.4240348024758647E-3</v>
      </c>
      <c r="CJ18" s="25">
        <v>4.9843599803720932E-3</v>
      </c>
      <c r="CK18" s="25">
        <v>4.5446851582683218E-3</v>
      </c>
      <c r="CL18" s="28">
        <v>4.3412203598204684E-3</v>
      </c>
      <c r="CM18" s="28">
        <v>4.137755561372615E-3</v>
      </c>
      <c r="CN18" s="28">
        <v>3.9342907629247616E-3</v>
      </c>
      <c r="CO18" s="28">
        <v>3.7308259644769082E-3</v>
      </c>
      <c r="CP18" s="28">
        <v>3.5273611660290548E-3</v>
      </c>
      <c r="CQ18" s="28">
        <v>3.3238963675812014E-3</v>
      </c>
      <c r="CR18" s="28">
        <v>3.120431569133348E-3</v>
      </c>
      <c r="CS18" s="28">
        <v>2.9169667706854946E-3</v>
      </c>
      <c r="CT18" s="28">
        <v>2.7135019722376412E-3</v>
      </c>
      <c r="CU18" s="28">
        <v>2.5100371737897878E-3</v>
      </c>
      <c r="CV18" s="28">
        <v>2.3065723753419344E-3</v>
      </c>
      <c r="CW18" s="28">
        <v>2.103107576894081E-3</v>
      </c>
      <c r="CX18" s="28">
        <v>2.0089518005652401E-3</v>
      </c>
      <c r="CY18" s="28">
        <v>1.9147960242363992E-3</v>
      </c>
      <c r="CZ18" s="28">
        <v>1.8206402479075583E-3</v>
      </c>
      <c r="DA18" s="28">
        <v>1.7264844715787174E-3</v>
      </c>
      <c r="DB18" s="28">
        <v>1.6323286952498765E-3</v>
      </c>
      <c r="DC18" s="28">
        <v>1.5381729189210356E-3</v>
      </c>
      <c r="DD18" s="28">
        <v>1.4440171425921947E-3</v>
      </c>
      <c r="DE18" s="28">
        <v>1.3498613662633538E-3</v>
      </c>
      <c r="DF18" s="28">
        <v>1.2557055899345129E-3</v>
      </c>
      <c r="DG18" s="28">
        <v>1.161549813605672E-3</v>
      </c>
      <c r="DH18" s="28">
        <v>1.0673940372768311E-3</v>
      </c>
      <c r="DI18" s="28">
        <v>9.7323826094799029E-4</v>
      </c>
      <c r="DJ18" s="28">
        <v>9.296665459205438E-4</v>
      </c>
      <c r="DK18" s="28">
        <v>8.860948308930973E-4</v>
      </c>
      <c r="DL18" s="28">
        <v>8.4252311586565081E-4</v>
      </c>
      <c r="DM18" s="28">
        <v>7.9895140083820432E-4</v>
      </c>
      <c r="DN18" s="28">
        <v>7.5537968581075783E-4</v>
      </c>
      <c r="DO18" s="28">
        <v>7.1180797078331133E-4</v>
      </c>
      <c r="DP18" s="28">
        <v>6.6823625575586484E-4</v>
      </c>
      <c r="DQ18" s="28">
        <v>6.2466454072841835E-4</v>
      </c>
      <c r="DR18" s="28">
        <v>5.8109282570097186E-4</v>
      </c>
      <c r="DS18" s="28">
        <v>5.3752111067352536E-4</v>
      </c>
      <c r="DT18" s="28">
        <v>4.9394939564607887E-4</v>
      </c>
      <c r="DU18" s="28">
        <v>4.5037768061863243E-4</v>
      </c>
      <c r="DV18" s="28">
        <v>4.3021434678553356E-4</v>
      </c>
      <c r="DW18" s="28">
        <v>4.1005101295243468E-4</v>
      </c>
      <c r="DX18" s="28">
        <v>3.898876791193358E-4</v>
      </c>
      <c r="DY18" s="28">
        <v>3.6972434528623693E-4</v>
      </c>
      <c r="DZ18" s="28">
        <v>3.4956101145313805E-4</v>
      </c>
      <c r="EA18" s="28">
        <v>3.2939767762003917E-4</v>
      </c>
      <c r="EB18" s="28">
        <v>3.092343437869403E-4</v>
      </c>
      <c r="EC18" s="28">
        <v>2.8907100995384142E-4</v>
      </c>
      <c r="ED18" s="28">
        <v>2.6890767612074254E-4</v>
      </c>
      <c r="EE18" s="28">
        <v>2.4874434228764367E-4</v>
      </c>
      <c r="EF18" s="28">
        <v>2.2858100845454482E-4</v>
      </c>
      <c r="EG18" s="28">
        <v>2.0841767462144597E-4</v>
      </c>
      <c r="EH18" s="28">
        <v>1.9908685000256441E-4</v>
      </c>
      <c r="EI18" s="28">
        <v>1.8975602538368286E-4</v>
      </c>
      <c r="EJ18" s="28">
        <v>1.804252007648013E-4</v>
      </c>
      <c r="EK18" s="28">
        <v>1.7109437614591975E-4</v>
      </c>
      <c r="EL18" s="28">
        <v>1.6176355152703819E-4</v>
      </c>
      <c r="EM18" s="28">
        <v>1.5243272690815664E-4</v>
      </c>
      <c r="EN18" s="28">
        <v>1.4310190228927509E-4</v>
      </c>
      <c r="EO18" s="28">
        <v>1.3377107767039353E-4</v>
      </c>
      <c r="EP18" s="28">
        <v>1.2444025305151198E-4</v>
      </c>
      <c r="EQ18" s="28">
        <v>1.1510942843263042E-4</v>
      </c>
      <c r="ER18" s="28">
        <v>1.0577860381374887E-4</v>
      </c>
      <c r="ES18" s="28">
        <v>9.6447779194867313E-5</v>
      </c>
      <c r="ET18" s="28">
        <v>9.2129828166084211E-5</v>
      </c>
      <c r="EU18" s="28">
        <v>8.7811877137301109E-5</v>
      </c>
      <c r="EV18" s="28">
        <v>8.3493926108518007E-5</v>
      </c>
      <c r="EW18" s="28">
        <v>7.9175975079734905E-5</v>
      </c>
      <c r="EX18" s="28">
        <v>7.4858024050951803E-5</v>
      </c>
      <c r="EY18" s="28">
        <v>7.0540073022168701E-5</v>
      </c>
      <c r="EZ18" s="28">
        <v>6.6222121993385599E-5</v>
      </c>
      <c r="FA18" s="28">
        <v>6.1904170964602497E-5</v>
      </c>
      <c r="FB18" s="28">
        <v>5.7586219935819401E-5</v>
      </c>
      <c r="FC18" s="28">
        <v>5.3268268907036306E-5</v>
      </c>
      <c r="FD18" s="28">
        <v>4.8950317878253211E-5</v>
      </c>
      <c r="FE18" s="28">
        <v>4.4632366849470115E-5</v>
      </c>
      <c r="FF18" s="28">
        <v>4.2634183210990811E-5</v>
      </c>
      <c r="FG18" s="28">
        <v>4.0635999572511506E-5</v>
      </c>
      <c r="FH18" s="28">
        <v>3.8637815934032202E-5</v>
      </c>
      <c r="FI18" s="28">
        <v>3.6639632295552897E-5</v>
      </c>
      <c r="FJ18" s="28">
        <v>3.4641448657073593E-5</v>
      </c>
      <c r="FK18" s="28">
        <v>3.2643265018594288E-5</v>
      </c>
      <c r="FL18" s="28">
        <v>3.0645081380114984E-5</v>
      </c>
      <c r="FM18" s="28">
        <v>2.8646897741635682E-5</v>
      </c>
      <c r="FN18" s="28">
        <v>2.6648714103156381E-5</v>
      </c>
      <c r="FO18" s="28">
        <v>2.465053046467708E-5</v>
      </c>
      <c r="FP18" s="28">
        <v>2.2652346826197779E-5</v>
      </c>
      <c r="FQ18" s="28">
        <v>2.0654163187718478E-5</v>
      </c>
      <c r="FR18" s="28">
        <v>1.972947973798245E-5</v>
      </c>
      <c r="FS18" s="28">
        <v>1.8804796288246422E-5</v>
      </c>
      <c r="FT18" s="28">
        <v>1.7880112838510394E-5</v>
      </c>
      <c r="FU18" s="28">
        <v>1.6955429388774367E-5</v>
      </c>
      <c r="FV18" s="28">
        <v>1.6030745939038339E-5</v>
      </c>
      <c r="FW18" s="28">
        <v>1.5106062489302311E-5</v>
      </c>
      <c r="FX18" s="28">
        <v>1.4181379039566283E-5</v>
      </c>
      <c r="FY18" s="28">
        <v>1.3256695589830255E-5</v>
      </c>
      <c r="FZ18" s="28">
        <v>1.2332012140094228E-5</v>
      </c>
      <c r="GA18" s="28">
        <v>1.14073286903582E-5</v>
      </c>
      <c r="GB18" s="28">
        <v>1.0482645240622172E-5</v>
      </c>
      <c r="GC18" s="28">
        <v>9.5579617908861442E-6</v>
      </c>
      <c r="GD18" s="28">
        <v>9.4005592241799146E-6</v>
      </c>
      <c r="GE18" s="28">
        <v>9.243156657473685E-6</v>
      </c>
      <c r="GF18" s="28">
        <v>9.0857540907674555E-6</v>
      </c>
      <c r="GG18" s="28">
        <v>8.9283515240612259E-6</v>
      </c>
      <c r="GH18" s="28">
        <v>8.7709489573549964E-6</v>
      </c>
      <c r="GI18" s="28">
        <v>8.6135463906487668E-6</v>
      </c>
      <c r="GJ18" s="28">
        <v>8.4561438239425372E-6</v>
      </c>
      <c r="GK18" s="28">
        <v>8.2987412572363077E-6</v>
      </c>
      <c r="GL18" s="28">
        <v>8.1413386905300781E-6</v>
      </c>
      <c r="GM18" s="28">
        <v>7.9839361238238486E-6</v>
      </c>
      <c r="GN18" s="28">
        <v>7.826533557117619E-6</v>
      </c>
      <c r="GO18" s="28">
        <v>7.6691309904113895E-6</v>
      </c>
      <c r="GP18" s="28">
        <v>7.5117284237051599E-6</v>
      </c>
      <c r="GQ18" s="28">
        <v>7.3543258569989303E-6</v>
      </c>
      <c r="GR18" s="28">
        <v>7.1969232902927008E-6</v>
      </c>
      <c r="GS18" s="28">
        <v>7.0395207235864712E-6</v>
      </c>
      <c r="GT18" s="28">
        <v>6.8821181568802417E-6</v>
      </c>
      <c r="GU18" s="28">
        <v>6.7247155901740121E-6</v>
      </c>
      <c r="GV18" s="28">
        <v>6.5673130234677825E-6</v>
      </c>
      <c r="GW18" s="28">
        <v>6.409910456761553E-6</v>
      </c>
      <c r="GX18" s="28">
        <v>6.2525078900553234E-6</v>
      </c>
      <c r="GY18" s="28">
        <v>6.0951053233490939E-6</v>
      </c>
      <c r="GZ18" s="28">
        <v>5.9377027566428643E-6</v>
      </c>
      <c r="HA18" s="28">
        <v>5.7803001899366347E-6</v>
      </c>
      <c r="HB18" s="28">
        <v>5.6228976232304052E-6</v>
      </c>
      <c r="HC18" s="28">
        <v>5.4654950565241756E-6</v>
      </c>
      <c r="HD18" s="28">
        <v>5.3080924898179461E-6</v>
      </c>
      <c r="HE18" s="28">
        <v>5.1506899231117165E-6</v>
      </c>
      <c r="HF18" s="28">
        <v>4.9932873564054869E-6</v>
      </c>
      <c r="HG18" s="28">
        <v>4.8358847896992574E-6</v>
      </c>
      <c r="HH18" s="28">
        <v>4.6784822229930278E-6</v>
      </c>
      <c r="HI18" s="28">
        <v>4.5210796562867983E-6</v>
      </c>
      <c r="HJ18" s="28">
        <v>4.3636770895805687E-6</v>
      </c>
      <c r="HK18" s="28">
        <v>4.2062745228743391E-6</v>
      </c>
      <c r="HL18" s="28">
        <v>4.0488719561681096E-6</v>
      </c>
      <c r="HM18" s="28">
        <v>3.89146938946188E-6</v>
      </c>
      <c r="HN18" s="28">
        <v>3.7340668227556505E-6</v>
      </c>
      <c r="HO18" s="28">
        <v>3.5766642560494209E-6</v>
      </c>
      <c r="HP18" s="28">
        <v>3.4192616893431914E-6</v>
      </c>
      <c r="HQ18" s="28">
        <v>3.2618591226369618E-6</v>
      </c>
      <c r="HR18" s="28">
        <v>3.1044565559307322E-6</v>
      </c>
      <c r="HS18" s="28">
        <v>2.9470539892245027E-6</v>
      </c>
      <c r="HT18" s="28">
        <v>2.7896514225182731E-6</v>
      </c>
      <c r="HU18" s="28">
        <v>2.6322488558120436E-6</v>
      </c>
      <c r="HV18" s="28">
        <v>2.474846289105814E-6</v>
      </c>
      <c r="HW18" s="28">
        <v>2.3174437223995844E-6</v>
      </c>
      <c r="HX18" s="28">
        <v>2.1600411556933549E-6</v>
      </c>
      <c r="HY18" s="28">
        <v>2.0026385889871253E-6</v>
      </c>
      <c r="HZ18" s="28">
        <v>1.845236022280896E-6</v>
      </c>
      <c r="IA18" s="28">
        <v>1.6878334555746666E-6</v>
      </c>
      <c r="IB18" s="28">
        <v>1.5304308888684373E-6</v>
      </c>
      <c r="IC18" s="28">
        <v>1.3730283221622079E-6</v>
      </c>
      <c r="ID18" s="28">
        <v>1.2156257554559786E-6</v>
      </c>
      <c r="IE18" s="28">
        <v>1.0582231887497492E-6</v>
      </c>
      <c r="IF18" s="28">
        <v>9.0082062204351989E-7</v>
      </c>
      <c r="IG18" s="28">
        <v>7.4341805533729054E-7</v>
      </c>
      <c r="IH18" s="28">
        <v>5.8601548863106119E-7</v>
      </c>
      <c r="II18" s="28">
        <v>4.2861292192483179E-7</v>
      </c>
      <c r="IJ18" s="28">
        <v>2.7121035521860239E-7</v>
      </c>
      <c r="IK18" s="29">
        <v>0</v>
      </c>
      <c r="IL18" s="30"/>
      <c r="IM18" s="30"/>
      <c r="IN18" s="30"/>
      <c r="IO18" s="30"/>
      <c r="IP18" s="30"/>
      <c r="IQ18" s="30"/>
      <c r="IR18" s="30"/>
      <c r="IS18" s="30"/>
      <c r="IT18" s="30"/>
      <c r="IU18" s="30"/>
      <c r="IV18" s="30"/>
      <c r="IW18" s="30"/>
      <c r="IX18" s="30"/>
      <c r="IY18" s="30"/>
      <c r="IZ18" s="30"/>
      <c r="JA18" s="30"/>
      <c r="JB18" s="30"/>
      <c r="JC18" s="30"/>
      <c r="JD18" s="30"/>
      <c r="JE18" s="30"/>
      <c r="JF18" s="30"/>
      <c r="JG18" s="30"/>
      <c r="JH18" s="30"/>
      <c r="JI18" s="30"/>
      <c r="JJ18" s="30"/>
      <c r="JK18" s="30"/>
      <c r="JL18" s="30"/>
      <c r="JM18" s="30"/>
      <c r="JN18" s="30"/>
      <c r="JO18" s="30"/>
      <c r="JP18" s="30"/>
      <c r="JQ18" s="30"/>
      <c r="JR18" s="30"/>
      <c r="JS18" s="30"/>
      <c r="JT18" s="30"/>
      <c r="JU18" s="30"/>
      <c r="JV18" s="30"/>
      <c r="JW18" s="30"/>
      <c r="JX18" s="30"/>
      <c r="JY18" s="30"/>
      <c r="JZ18" s="30"/>
      <c r="KA18" s="30"/>
      <c r="KB18" s="30"/>
      <c r="KC18" s="30"/>
      <c r="KD18" s="30"/>
      <c r="KE18" s="30"/>
      <c r="KF18" s="30"/>
      <c r="KG18" s="30"/>
      <c r="KH18" s="30"/>
      <c r="KI18" s="30"/>
      <c r="KJ18" s="30"/>
      <c r="KK18" s="30"/>
      <c r="KL18" s="30"/>
      <c r="KM18" s="30"/>
      <c r="KN18" s="30"/>
      <c r="KO18" s="30"/>
      <c r="KP18" s="30"/>
      <c r="KQ18" s="30"/>
      <c r="KR18" s="30"/>
      <c r="KS18" s="30"/>
    </row>
    <row r="19" spans="1:305" ht="12" customHeight="1" x14ac:dyDescent="0.35">
      <c r="A19" s="14"/>
      <c r="B19" s="14"/>
      <c r="C19" s="14"/>
      <c r="D19" s="14"/>
      <c r="E19" s="14"/>
      <c r="F19" s="15"/>
      <c r="G19" s="15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/>
      <c r="FR19" s="14"/>
      <c r="FS19" s="14"/>
      <c r="FT19" s="14"/>
      <c r="FU19" s="14"/>
      <c r="FV19" s="14"/>
      <c r="FW19" s="14"/>
      <c r="FX19" s="14"/>
      <c r="FY19" s="14"/>
      <c r="FZ19" s="14"/>
      <c r="GA19" s="14"/>
      <c r="GB19" s="14"/>
      <c r="GC19" s="14"/>
      <c r="GD19" s="14"/>
      <c r="GE19" s="14"/>
      <c r="GF19" s="14"/>
      <c r="GG19" s="14"/>
      <c r="GH19" s="14"/>
      <c r="GI19" s="14"/>
      <c r="GJ19" s="14"/>
      <c r="GK19" s="14"/>
      <c r="GL19" s="14"/>
      <c r="GM19" s="14"/>
      <c r="GN19" s="14"/>
      <c r="GO19" s="14"/>
      <c r="GP19" s="14"/>
      <c r="GQ19" s="14"/>
      <c r="GR19" s="14"/>
      <c r="GS19" s="14"/>
      <c r="GT19" s="14"/>
      <c r="GU19" s="14"/>
      <c r="GV19" s="14"/>
      <c r="GW19" s="14"/>
      <c r="GX19" s="14"/>
      <c r="GY19" s="14"/>
      <c r="GZ19" s="14"/>
      <c r="HA19" s="14"/>
      <c r="HB19" s="14"/>
      <c r="HC19" s="14"/>
      <c r="HD19" s="14"/>
      <c r="HE19" s="14"/>
      <c r="HF19" s="14"/>
      <c r="HG19" s="14"/>
      <c r="HH19" s="14"/>
      <c r="HI19" s="14"/>
      <c r="HJ19" s="14"/>
      <c r="HK19" s="14"/>
      <c r="HL19" s="14"/>
      <c r="HM19" s="14"/>
      <c r="HN19" s="14"/>
      <c r="HO19" s="14"/>
      <c r="HP19" s="14"/>
      <c r="HQ19" s="14"/>
      <c r="HR19" s="14"/>
      <c r="HS19" s="14"/>
      <c r="HT19" s="14"/>
      <c r="HU19" s="14"/>
      <c r="HV19" s="14"/>
      <c r="HW19" s="14"/>
      <c r="HX19" s="14"/>
      <c r="HY19" s="14"/>
      <c r="HZ19" s="14"/>
      <c r="IA19" s="14"/>
      <c r="IB19" s="14"/>
      <c r="IC19" s="14"/>
      <c r="ID19" s="14"/>
      <c r="IE19" s="14"/>
      <c r="IF19" s="14"/>
      <c r="IG19" s="14"/>
      <c r="IH19" s="14"/>
      <c r="II19" s="14"/>
      <c r="IJ19" s="14"/>
      <c r="IK19" s="14"/>
      <c r="IL19" s="30"/>
      <c r="IM19" s="30"/>
      <c r="IN19" s="30"/>
      <c r="IO19" s="30"/>
      <c r="IP19" s="30"/>
      <c r="IQ19" s="30"/>
      <c r="IR19" s="30"/>
      <c r="IS19" s="30"/>
      <c r="IT19" s="30"/>
      <c r="IU19" s="30"/>
      <c r="IV19" s="30"/>
      <c r="IW19" s="30"/>
      <c r="IX19" s="30"/>
      <c r="IY19" s="30"/>
      <c r="IZ19" s="30"/>
      <c r="JA19" s="30"/>
      <c r="JB19" s="30"/>
      <c r="JC19" s="30"/>
      <c r="JD19" s="30"/>
      <c r="JE19" s="30"/>
      <c r="JF19" s="30"/>
      <c r="JG19" s="30"/>
      <c r="JH19" s="30"/>
      <c r="JI19" s="30"/>
      <c r="JJ19" s="30"/>
      <c r="JK19" s="30"/>
      <c r="JL19" s="30"/>
      <c r="JM19" s="30"/>
      <c r="JN19" s="30"/>
      <c r="JO19" s="30"/>
      <c r="JP19" s="30"/>
      <c r="JQ19" s="30"/>
      <c r="JR19" s="30"/>
      <c r="JS19" s="30"/>
      <c r="JT19" s="30"/>
      <c r="JU19" s="30"/>
      <c r="JV19" s="30"/>
      <c r="JW19" s="30"/>
      <c r="JX19" s="30"/>
      <c r="JY19" s="30"/>
      <c r="JZ19" s="30"/>
      <c r="KA19" s="30"/>
      <c r="KB19" s="30"/>
      <c r="KC19" s="30"/>
      <c r="KD19" s="30"/>
      <c r="KE19" s="30"/>
      <c r="KF19" s="30"/>
      <c r="KG19" s="30"/>
      <c r="KH19" s="30"/>
      <c r="KI19" s="30"/>
      <c r="KJ19" s="30"/>
      <c r="KK19" s="30"/>
      <c r="KL19" s="30"/>
      <c r="KM19" s="30"/>
      <c r="KN19" s="30"/>
      <c r="KO19" s="30"/>
      <c r="KP19" s="30"/>
      <c r="KQ19" s="30"/>
      <c r="KR19" s="30"/>
      <c r="KS19" s="30"/>
    </row>
    <row r="20" spans="1:305" ht="12" customHeight="1" x14ac:dyDescent="0.35">
      <c r="A20" s="14"/>
      <c r="B20" s="16" t="s">
        <v>415</v>
      </c>
      <c r="C20" s="17" t="s">
        <v>34</v>
      </c>
      <c r="D20" s="14"/>
      <c r="E20" s="17" t="s">
        <v>35</v>
      </c>
      <c r="F20" s="18">
        <v>0.39058573041233502</v>
      </c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4"/>
      <c r="DO20" s="14"/>
      <c r="DP20" s="14"/>
      <c r="DQ20" s="14"/>
      <c r="DR20" s="14"/>
      <c r="DS20" s="14"/>
      <c r="DT20" s="14"/>
      <c r="DU20" s="14"/>
      <c r="DV20" s="14"/>
      <c r="DW20" s="14"/>
      <c r="DX20" s="14"/>
      <c r="DY20" s="14"/>
      <c r="DZ20" s="14"/>
      <c r="EA20" s="14"/>
      <c r="EB20" s="14"/>
      <c r="EC20" s="14"/>
      <c r="ED20" s="14"/>
      <c r="EE20" s="14"/>
      <c r="EF20" s="14"/>
      <c r="EG20" s="14"/>
      <c r="EH20" s="14"/>
      <c r="EI20" s="14"/>
      <c r="EJ20" s="14"/>
      <c r="EK20" s="14"/>
      <c r="EL20" s="14"/>
      <c r="EM20" s="14"/>
      <c r="EN20" s="14"/>
      <c r="EO20" s="14"/>
      <c r="EP20" s="14"/>
      <c r="EQ20" s="14"/>
      <c r="ER20" s="14"/>
      <c r="ES20" s="14"/>
      <c r="ET20" s="14"/>
      <c r="EU20" s="14"/>
      <c r="EV20" s="14"/>
      <c r="EW20" s="14"/>
      <c r="EX20" s="14"/>
      <c r="EY20" s="14"/>
      <c r="EZ20" s="14"/>
      <c r="FA20" s="14"/>
      <c r="FB20" s="14"/>
      <c r="FC20" s="14"/>
      <c r="FD20" s="14"/>
      <c r="FE20" s="14"/>
      <c r="FF20" s="14"/>
      <c r="FG20" s="14"/>
      <c r="FH20" s="14"/>
      <c r="FI20" s="14"/>
      <c r="FJ20" s="14"/>
      <c r="FK20" s="14"/>
      <c r="FL20" s="14"/>
      <c r="FM20" s="14"/>
      <c r="FN20" s="14"/>
      <c r="FO20" s="14"/>
      <c r="FP20" s="14"/>
      <c r="FQ20" s="14"/>
      <c r="FR20" s="14"/>
      <c r="FS20" s="14"/>
      <c r="FT20" s="14"/>
      <c r="FU20" s="14"/>
      <c r="FV20" s="14"/>
      <c r="FW20" s="14"/>
      <c r="FX20" s="14"/>
      <c r="FY20" s="14"/>
      <c r="FZ20" s="14"/>
      <c r="GA20" s="14"/>
      <c r="GB20" s="14"/>
      <c r="GC20" s="14"/>
      <c r="GD20" s="14"/>
      <c r="GE20" s="14"/>
      <c r="GF20" s="14"/>
      <c r="GG20" s="14"/>
      <c r="GH20" s="14"/>
      <c r="GI20" s="14"/>
      <c r="GJ20" s="14"/>
      <c r="GK20" s="14"/>
      <c r="GL20" s="14"/>
      <c r="GM20" s="14"/>
      <c r="GN20" s="14"/>
      <c r="GO20" s="14"/>
      <c r="GP20" s="14"/>
      <c r="GQ20" s="14"/>
      <c r="GR20" s="14"/>
      <c r="GS20" s="14"/>
      <c r="GT20" s="14"/>
      <c r="GU20" s="14"/>
      <c r="GV20" s="14"/>
      <c r="GW20" s="14"/>
      <c r="GX20" s="14"/>
      <c r="GY20" s="14"/>
      <c r="GZ20" s="14"/>
      <c r="HA20" s="14"/>
      <c r="HB20" s="14"/>
      <c r="HC20" s="14"/>
      <c r="HD20" s="14"/>
      <c r="HE20" s="14"/>
      <c r="HF20" s="14"/>
      <c r="HG20" s="14"/>
      <c r="HH20" s="14"/>
      <c r="HI20" s="14"/>
      <c r="HJ20" s="14"/>
      <c r="HK20" s="14"/>
      <c r="HL20" s="14"/>
      <c r="HM20" s="14"/>
      <c r="HN20" s="14"/>
      <c r="HO20" s="14"/>
      <c r="HP20" s="14"/>
      <c r="HQ20" s="14"/>
      <c r="HR20" s="14"/>
      <c r="HS20" s="14"/>
      <c r="HT20" s="14"/>
      <c r="HU20" s="14"/>
      <c r="HV20" s="14"/>
      <c r="HW20" s="14"/>
      <c r="HX20" s="14"/>
      <c r="HY20" s="14"/>
      <c r="HZ20" s="14"/>
      <c r="IA20" s="14"/>
      <c r="IB20" s="14"/>
      <c r="IC20" s="14"/>
      <c r="ID20" s="14"/>
      <c r="IE20" s="14"/>
      <c r="IF20" s="14"/>
      <c r="IG20" s="14"/>
      <c r="IH20" s="14"/>
      <c r="II20" s="14"/>
      <c r="IJ20" s="14"/>
      <c r="IK20" s="14"/>
      <c r="IL20" s="30"/>
      <c r="IM20" s="30"/>
      <c r="IN20" s="30"/>
      <c r="IO20" s="30"/>
      <c r="IP20" s="30"/>
      <c r="IQ20" s="30"/>
      <c r="IR20" s="30"/>
      <c r="IS20" s="30"/>
      <c r="IT20" s="30"/>
      <c r="IU20" s="30"/>
      <c r="IV20" s="30"/>
      <c r="IW20" s="30"/>
      <c r="IX20" s="30"/>
      <c r="IY20" s="30"/>
      <c r="IZ20" s="30"/>
      <c r="JA20" s="30"/>
      <c r="JB20" s="30"/>
      <c r="JC20" s="30"/>
      <c r="JD20" s="30"/>
      <c r="JE20" s="30"/>
      <c r="JF20" s="30"/>
      <c r="JG20" s="30"/>
      <c r="JH20" s="30"/>
      <c r="JI20" s="30"/>
      <c r="JJ20" s="30"/>
      <c r="JK20" s="30"/>
      <c r="JL20" s="30"/>
      <c r="JM20" s="30"/>
      <c r="JN20" s="30"/>
      <c r="JO20" s="30"/>
      <c r="JP20" s="30"/>
      <c r="JQ20" s="30"/>
      <c r="JR20" s="30"/>
      <c r="JS20" s="30"/>
      <c r="JT20" s="30"/>
      <c r="JU20" s="30"/>
      <c r="JV20" s="30"/>
      <c r="JW20" s="30"/>
      <c r="JX20" s="30"/>
      <c r="JY20" s="30"/>
      <c r="JZ20" s="30"/>
      <c r="KA20" s="30"/>
      <c r="KB20" s="30"/>
      <c r="KC20" s="30"/>
      <c r="KD20" s="30"/>
      <c r="KE20" s="30"/>
      <c r="KF20" s="30"/>
      <c r="KG20" s="30"/>
      <c r="KH20" s="30"/>
      <c r="KI20" s="30"/>
      <c r="KJ20" s="30"/>
      <c r="KK20" s="30"/>
      <c r="KL20" s="30"/>
      <c r="KM20" s="30"/>
      <c r="KN20" s="30"/>
      <c r="KO20" s="30"/>
      <c r="KP20" s="30"/>
      <c r="KQ20" s="30"/>
      <c r="KR20" s="30"/>
      <c r="KS20" s="30"/>
    </row>
    <row r="21" spans="1:305" ht="12" customHeight="1" x14ac:dyDescent="0.35">
      <c r="A21" s="14"/>
      <c r="B21" s="14"/>
      <c r="C21" s="14"/>
      <c r="D21" s="14"/>
      <c r="E21" s="20" t="s">
        <v>18</v>
      </c>
      <c r="F21" s="21" t="s">
        <v>36</v>
      </c>
      <c r="G21" s="21" t="s">
        <v>37</v>
      </c>
      <c r="H21" s="21" t="s">
        <v>38</v>
      </c>
      <c r="I21" s="21" t="s">
        <v>39</v>
      </c>
      <c r="J21" s="21" t="s">
        <v>40</v>
      </c>
      <c r="K21" s="21" t="s">
        <v>41</v>
      </c>
      <c r="L21" s="21" t="s">
        <v>42</v>
      </c>
      <c r="M21" s="21" t="s">
        <v>43</v>
      </c>
      <c r="N21" s="21" t="s">
        <v>44</v>
      </c>
      <c r="O21" s="21" t="s">
        <v>45</v>
      </c>
      <c r="P21" s="21" t="s">
        <v>46</v>
      </c>
      <c r="Q21" s="21" t="s">
        <v>47</v>
      </c>
      <c r="R21" s="21" t="s">
        <v>48</v>
      </c>
      <c r="S21" s="21" t="s">
        <v>49</v>
      </c>
      <c r="T21" s="21" t="s">
        <v>50</v>
      </c>
      <c r="U21" s="21" t="s">
        <v>51</v>
      </c>
      <c r="V21" s="21" t="s">
        <v>52</v>
      </c>
      <c r="W21" s="21" t="s">
        <v>53</v>
      </c>
      <c r="X21" s="21" t="s">
        <v>54</v>
      </c>
      <c r="Y21" s="21" t="s">
        <v>55</v>
      </c>
      <c r="Z21" s="21" t="s">
        <v>56</v>
      </c>
      <c r="AA21" s="21" t="s">
        <v>57</v>
      </c>
      <c r="AB21" s="21" t="s">
        <v>58</v>
      </c>
      <c r="AC21" s="21" t="s">
        <v>59</v>
      </c>
      <c r="AD21" s="22" t="s">
        <v>60</v>
      </c>
      <c r="AE21" s="22" t="s">
        <v>61</v>
      </c>
      <c r="AF21" s="22" t="s">
        <v>62</v>
      </c>
      <c r="AG21" s="22" t="s">
        <v>63</v>
      </c>
      <c r="AH21" s="22" t="s">
        <v>64</v>
      </c>
      <c r="AI21" s="22" t="s">
        <v>65</v>
      </c>
      <c r="AJ21" s="22" t="s">
        <v>66</v>
      </c>
      <c r="AK21" s="22" t="s">
        <v>67</v>
      </c>
      <c r="AL21" s="22" t="s">
        <v>68</v>
      </c>
      <c r="AM21" s="22" t="s">
        <v>69</v>
      </c>
      <c r="AN21" s="22" t="s">
        <v>70</v>
      </c>
      <c r="AO21" s="22" t="s">
        <v>71</v>
      </c>
      <c r="AP21" s="22" t="s">
        <v>72</v>
      </c>
      <c r="AQ21" s="22" t="s">
        <v>73</v>
      </c>
      <c r="AR21" s="22" t="s">
        <v>74</v>
      </c>
      <c r="AS21" s="22" t="s">
        <v>75</v>
      </c>
      <c r="AT21" s="22" t="s">
        <v>76</v>
      </c>
      <c r="AU21" s="22" t="s">
        <v>77</v>
      </c>
      <c r="AV21" s="22" t="s">
        <v>78</v>
      </c>
      <c r="AW21" s="22" t="s">
        <v>79</v>
      </c>
      <c r="AX21" s="22" t="s">
        <v>80</v>
      </c>
      <c r="AY21" s="22" t="s">
        <v>81</v>
      </c>
      <c r="AZ21" s="22" t="s">
        <v>82</v>
      </c>
      <c r="BA21" s="22" t="s">
        <v>83</v>
      </c>
      <c r="BB21" s="22" t="s">
        <v>84</v>
      </c>
      <c r="BC21" s="22" t="s">
        <v>85</v>
      </c>
      <c r="BD21" s="22" t="s">
        <v>86</v>
      </c>
      <c r="BE21" s="22" t="s">
        <v>87</v>
      </c>
      <c r="BF21" s="22" t="s">
        <v>88</v>
      </c>
      <c r="BG21" s="22" t="s">
        <v>89</v>
      </c>
      <c r="BH21" s="22" t="s">
        <v>90</v>
      </c>
      <c r="BI21" s="22" t="s">
        <v>91</v>
      </c>
      <c r="BJ21" s="22" t="s">
        <v>92</v>
      </c>
      <c r="BK21" s="22" t="s">
        <v>93</v>
      </c>
      <c r="BL21" s="22" t="s">
        <v>94</v>
      </c>
      <c r="BM21" s="22" t="s">
        <v>95</v>
      </c>
      <c r="BN21" s="22" t="s">
        <v>96</v>
      </c>
      <c r="BO21" s="22" t="s">
        <v>97</v>
      </c>
      <c r="BP21" s="22" t="s">
        <v>98</v>
      </c>
      <c r="BQ21" s="22" t="s">
        <v>99</v>
      </c>
      <c r="BR21" s="22" t="s">
        <v>100</v>
      </c>
      <c r="BS21" s="22" t="s">
        <v>101</v>
      </c>
      <c r="BT21" s="22" t="s">
        <v>102</v>
      </c>
      <c r="BU21" s="22" t="s">
        <v>103</v>
      </c>
      <c r="BV21" s="22" t="s">
        <v>104</v>
      </c>
      <c r="BW21" s="22" t="s">
        <v>105</v>
      </c>
      <c r="BX21" s="22" t="s">
        <v>106</v>
      </c>
      <c r="BY21" s="22" t="s">
        <v>107</v>
      </c>
      <c r="BZ21" s="22" t="s">
        <v>108</v>
      </c>
      <c r="CA21" s="22" t="s">
        <v>109</v>
      </c>
      <c r="CB21" s="22" t="s">
        <v>110</v>
      </c>
      <c r="CC21" s="22" t="s">
        <v>111</v>
      </c>
      <c r="CD21" s="22" t="s">
        <v>112</v>
      </c>
      <c r="CE21" s="22" t="s">
        <v>113</v>
      </c>
      <c r="CF21" s="22" t="s">
        <v>114</v>
      </c>
      <c r="CG21" s="22" t="s">
        <v>115</v>
      </c>
      <c r="CH21" s="22" t="s">
        <v>116</v>
      </c>
      <c r="CI21" s="22" t="s">
        <v>117</v>
      </c>
      <c r="CJ21" s="22" t="s">
        <v>118</v>
      </c>
      <c r="CK21" s="22" t="s">
        <v>119</v>
      </c>
      <c r="CL21" s="22" t="s">
        <v>120</v>
      </c>
      <c r="CM21" s="22" t="s">
        <v>121</v>
      </c>
      <c r="CN21" s="22" t="s">
        <v>122</v>
      </c>
      <c r="CO21" s="22" t="s">
        <v>123</v>
      </c>
      <c r="CP21" s="22" t="s">
        <v>124</v>
      </c>
      <c r="CQ21" s="22" t="s">
        <v>125</v>
      </c>
      <c r="CR21" s="22" t="s">
        <v>126</v>
      </c>
      <c r="CS21" s="22" t="s">
        <v>127</v>
      </c>
      <c r="CT21" s="22" t="s">
        <v>128</v>
      </c>
      <c r="CU21" s="22" t="s">
        <v>129</v>
      </c>
      <c r="CV21" s="22" t="s">
        <v>130</v>
      </c>
      <c r="CW21" s="22" t="s">
        <v>131</v>
      </c>
      <c r="CX21" s="22" t="s">
        <v>132</v>
      </c>
      <c r="CY21" s="22" t="s">
        <v>133</v>
      </c>
      <c r="CZ21" s="22" t="s">
        <v>134</v>
      </c>
      <c r="DA21" s="22" t="s">
        <v>135</v>
      </c>
      <c r="DB21" s="22" t="s">
        <v>136</v>
      </c>
      <c r="DC21" s="22" t="s">
        <v>137</v>
      </c>
      <c r="DD21" s="22" t="s">
        <v>138</v>
      </c>
      <c r="DE21" s="22" t="s">
        <v>139</v>
      </c>
      <c r="DF21" s="22" t="s">
        <v>140</v>
      </c>
      <c r="DG21" s="22" t="s">
        <v>141</v>
      </c>
      <c r="DH21" s="22" t="s">
        <v>142</v>
      </c>
      <c r="DI21" s="22" t="s">
        <v>143</v>
      </c>
      <c r="DJ21" s="30"/>
      <c r="DK21" s="30"/>
      <c r="DL21" s="30"/>
      <c r="DM21" s="30"/>
      <c r="DN21" s="30"/>
      <c r="DO21" s="30"/>
      <c r="DP21" s="30"/>
      <c r="DQ21" s="30"/>
      <c r="DR21" s="30"/>
      <c r="DS21" s="30"/>
      <c r="DT21" s="30"/>
      <c r="DU21" s="30"/>
      <c r="DV21" s="30"/>
      <c r="DW21" s="30"/>
      <c r="DX21" s="30"/>
      <c r="DY21" s="30"/>
      <c r="DZ21" s="30"/>
      <c r="EA21" s="30"/>
      <c r="EB21" s="30"/>
      <c r="EC21" s="30"/>
      <c r="ED21" s="30"/>
      <c r="EE21" s="30"/>
      <c r="EF21" s="30"/>
      <c r="EG21" s="30"/>
      <c r="EH21" s="30"/>
      <c r="EI21" s="30"/>
      <c r="EJ21" s="30"/>
      <c r="EK21" s="30"/>
      <c r="EL21" s="30"/>
      <c r="EM21" s="30"/>
      <c r="EN21" s="30"/>
      <c r="EO21" s="30"/>
      <c r="EP21" s="30"/>
      <c r="EQ21" s="30"/>
      <c r="ER21" s="30"/>
      <c r="ES21" s="30"/>
      <c r="ET21" s="30"/>
      <c r="EU21" s="30"/>
      <c r="EV21" s="30"/>
      <c r="EW21" s="30"/>
      <c r="EX21" s="30"/>
      <c r="EY21" s="30"/>
      <c r="EZ21" s="30"/>
      <c r="FA21" s="30"/>
      <c r="FB21" s="30"/>
      <c r="FC21" s="30"/>
      <c r="FD21" s="30"/>
      <c r="FE21" s="30"/>
      <c r="FF21" s="27"/>
      <c r="FG21" s="27"/>
      <c r="FH21" s="27"/>
      <c r="FI21" s="27"/>
      <c r="FJ21" s="27"/>
      <c r="FK21" s="27"/>
      <c r="FL21" s="27"/>
      <c r="FM21" s="27"/>
      <c r="FN21" s="27"/>
      <c r="FO21" s="27"/>
      <c r="FP21" s="27"/>
      <c r="FQ21" s="27"/>
      <c r="FR21" s="27"/>
      <c r="FS21" s="27"/>
      <c r="FT21" s="27"/>
      <c r="FU21" s="27"/>
      <c r="FV21" s="27"/>
      <c r="FW21" s="27"/>
      <c r="FX21" s="27"/>
      <c r="FY21" s="27"/>
      <c r="FZ21" s="27"/>
      <c r="GA21" s="27"/>
      <c r="GB21" s="27"/>
      <c r="GC21" s="27"/>
      <c r="GD21" s="27"/>
      <c r="GE21" s="27"/>
      <c r="GF21" s="27"/>
      <c r="GG21" s="27"/>
      <c r="GH21" s="27"/>
      <c r="GI21" s="27"/>
      <c r="GJ21" s="27"/>
      <c r="GK21" s="27"/>
      <c r="GL21" s="27"/>
      <c r="GM21" s="27"/>
      <c r="GN21" s="27"/>
      <c r="GO21" s="27"/>
      <c r="GP21" s="27"/>
      <c r="GQ21" s="27"/>
      <c r="GR21" s="27"/>
      <c r="GS21" s="27"/>
      <c r="GT21" s="27"/>
      <c r="GU21" s="27"/>
      <c r="GV21" s="27"/>
      <c r="GW21" s="27"/>
      <c r="GX21" s="27"/>
      <c r="GY21" s="27"/>
      <c r="GZ21" s="27"/>
      <c r="HA21" s="27"/>
      <c r="HB21" s="27"/>
      <c r="HC21" s="27"/>
      <c r="HD21" s="27"/>
      <c r="HE21" s="27"/>
      <c r="HF21" s="27"/>
      <c r="HG21" s="27"/>
      <c r="HH21" s="27"/>
      <c r="HI21" s="27"/>
      <c r="HJ21" s="27"/>
      <c r="HK21" s="27"/>
      <c r="HL21" s="27"/>
      <c r="HM21" s="27"/>
      <c r="HN21" s="27"/>
      <c r="HO21" s="27"/>
      <c r="HP21" s="27"/>
      <c r="HQ21" s="27"/>
      <c r="HR21" s="27"/>
      <c r="HS21" s="27"/>
      <c r="HT21" s="27"/>
      <c r="HU21" s="27"/>
      <c r="HV21" s="27"/>
      <c r="HW21" s="27"/>
      <c r="HX21" s="27"/>
      <c r="HY21" s="27"/>
      <c r="HZ21" s="27"/>
      <c r="IA21" s="27"/>
      <c r="IB21" s="27"/>
      <c r="IC21" s="27"/>
      <c r="ID21" s="27"/>
      <c r="IE21" s="27"/>
      <c r="IF21" s="27"/>
      <c r="IG21" s="27"/>
      <c r="IH21" s="27"/>
      <c r="II21" s="27"/>
      <c r="IJ21" s="27"/>
      <c r="IK21" s="27"/>
      <c r="IL21" s="27"/>
      <c r="IM21" s="27"/>
      <c r="IN21" s="27"/>
      <c r="IO21" s="27"/>
      <c r="IP21" s="27"/>
      <c r="IQ21" s="27"/>
      <c r="IR21" s="27"/>
      <c r="IS21" s="27"/>
      <c r="IT21" s="27"/>
      <c r="IU21" s="27"/>
      <c r="IV21" s="27"/>
      <c r="IW21" s="27"/>
      <c r="IX21" s="27"/>
      <c r="IY21" s="27"/>
      <c r="IZ21" s="27"/>
      <c r="JA21" s="27"/>
      <c r="JB21" s="27"/>
      <c r="JC21" s="27"/>
      <c r="JD21" s="27"/>
      <c r="JE21" s="27"/>
      <c r="JF21" s="27"/>
      <c r="JG21" s="27"/>
      <c r="JH21" s="27"/>
      <c r="JI21" s="27"/>
      <c r="JJ21" s="27"/>
      <c r="JK21" s="27"/>
      <c r="JL21" s="27"/>
      <c r="JM21" s="27"/>
      <c r="JN21" s="27"/>
      <c r="JO21" s="27"/>
      <c r="JP21" s="27"/>
      <c r="JQ21" s="27"/>
      <c r="JR21" s="27"/>
      <c r="JS21" s="27"/>
      <c r="JT21" s="27"/>
      <c r="JU21" s="27"/>
      <c r="JV21" s="27"/>
      <c r="JW21" s="27"/>
      <c r="JX21" s="27"/>
      <c r="JY21" s="27"/>
      <c r="JZ21" s="27"/>
      <c r="KA21" s="27"/>
      <c r="KB21" s="27"/>
      <c r="KC21" s="27"/>
      <c r="KD21" s="27"/>
      <c r="KE21" s="27"/>
      <c r="KF21" s="27"/>
      <c r="KG21" s="27"/>
      <c r="KH21" s="27"/>
      <c r="KI21" s="27"/>
      <c r="KJ21" s="27"/>
      <c r="KK21" s="27"/>
      <c r="KL21" s="27"/>
      <c r="KM21" s="27"/>
      <c r="KN21" s="27"/>
      <c r="KO21" s="27"/>
      <c r="KP21" s="27"/>
      <c r="KQ21" s="27"/>
      <c r="KR21" s="27"/>
      <c r="KS21" s="27"/>
    </row>
    <row r="22" spans="1:305" ht="12" customHeight="1" x14ac:dyDescent="0.35">
      <c r="A22" s="14"/>
      <c r="B22" s="14"/>
      <c r="C22" s="14"/>
      <c r="D22" s="14"/>
      <c r="E22" s="14"/>
      <c r="F22" s="24">
        <v>1</v>
      </c>
      <c r="G22" s="25">
        <v>0.91031220046297234</v>
      </c>
      <c r="H22" s="25">
        <v>0.82062440092594469</v>
      </c>
      <c r="I22" s="25">
        <v>0.73093660138891703</v>
      </c>
      <c r="J22" s="25">
        <v>0.64124880185188937</v>
      </c>
      <c r="K22" s="25">
        <v>0.55156100231486171</v>
      </c>
      <c r="L22" s="25">
        <v>0.46187320277783406</v>
      </c>
      <c r="M22" s="25">
        <v>0.3721854032408064</v>
      </c>
      <c r="N22" s="25">
        <v>0.28249760370377874</v>
      </c>
      <c r="O22" s="25">
        <v>0.19280980416675109</v>
      </c>
      <c r="P22" s="25">
        <v>0.10312200462972344</v>
      </c>
      <c r="Q22" s="25">
        <v>1.34342050926958E-2</v>
      </c>
      <c r="R22" s="25">
        <v>1.2329727823843863E-2</v>
      </c>
      <c r="S22" s="25">
        <v>1.1225250554991927E-2</v>
      </c>
      <c r="T22" s="25">
        <v>1.012077328613999E-2</v>
      </c>
      <c r="U22" s="25">
        <v>9.016296017288053E-3</v>
      </c>
      <c r="V22" s="25">
        <v>7.9118187484361162E-3</v>
      </c>
      <c r="W22" s="25">
        <v>6.8073414795841803E-3</v>
      </c>
      <c r="X22" s="25">
        <v>5.7028642107322444E-3</v>
      </c>
      <c r="Y22" s="25">
        <v>4.5983869418803084E-3</v>
      </c>
      <c r="Z22" s="25">
        <v>3.4939096730283725E-3</v>
      </c>
      <c r="AA22" s="25">
        <v>2.3894324041764366E-3</v>
      </c>
      <c r="AB22" s="25">
        <v>1.2849551353245005E-3</v>
      </c>
      <c r="AC22" s="25">
        <v>1.8047786647256434E-4</v>
      </c>
      <c r="AD22" s="28">
        <v>1.6564009232258685E-4</v>
      </c>
      <c r="AE22" s="28">
        <v>1.5080231817260936E-4</v>
      </c>
      <c r="AF22" s="28">
        <v>1.3596454402263188E-4</v>
      </c>
      <c r="AG22" s="28">
        <v>1.2112676987265439E-4</v>
      </c>
      <c r="AH22" s="28">
        <v>1.062889957226769E-4</v>
      </c>
      <c r="AI22" s="28">
        <v>9.1451221572699413E-5</v>
      </c>
      <c r="AJ22" s="28">
        <v>7.6613447422721925E-5</v>
      </c>
      <c r="AK22" s="28">
        <v>6.1775673272744438E-5</v>
      </c>
      <c r="AL22" s="28">
        <v>4.6937899122766957E-5</v>
      </c>
      <c r="AM22" s="28">
        <v>3.2100124972789476E-5</v>
      </c>
      <c r="AN22" s="28">
        <v>1.7262350822811995E-5</v>
      </c>
      <c r="AO22" s="28">
        <v>2.4245766728345144E-6</v>
      </c>
      <c r="AP22" s="28">
        <v>2.225242971784616E-6</v>
      </c>
      <c r="AQ22" s="28">
        <v>2.0259092707347176E-6</v>
      </c>
      <c r="AR22" s="28">
        <v>1.8265755696848194E-6</v>
      </c>
      <c r="AS22" s="28">
        <v>1.6272418686349212E-6</v>
      </c>
      <c r="AT22" s="28">
        <v>1.427908167585023E-6</v>
      </c>
      <c r="AU22" s="28">
        <v>1.2285744665351248E-6</v>
      </c>
      <c r="AV22" s="28">
        <v>1.0292407654852266E-6</v>
      </c>
      <c r="AW22" s="28">
        <v>8.2990706443532834E-7</v>
      </c>
      <c r="AX22" s="28">
        <v>6.3057336338543005E-7</v>
      </c>
      <c r="AY22" s="28">
        <v>4.3123966233553175E-7</v>
      </c>
      <c r="AZ22" s="28">
        <v>2.3190596128563349E-7</v>
      </c>
      <c r="BA22" s="28">
        <v>3.2572260235735224E-8</v>
      </c>
      <c r="BB22" s="28">
        <v>2.9894370413944771E-8</v>
      </c>
      <c r="BC22" s="28">
        <v>2.7216480592154319E-8</v>
      </c>
      <c r="BD22" s="28">
        <v>2.4538590770363866E-8</v>
      </c>
      <c r="BE22" s="28">
        <v>2.1860700948573414E-8</v>
      </c>
      <c r="BF22" s="28">
        <v>1.9182811126782962E-8</v>
      </c>
      <c r="BG22" s="28">
        <v>1.6504921304992509E-8</v>
      </c>
      <c r="BH22" s="28">
        <v>1.3827031483202055E-8</v>
      </c>
      <c r="BI22" s="28">
        <v>1.1149141661411601E-8</v>
      </c>
      <c r="BJ22" s="28">
        <v>8.4712518396211467E-9</v>
      </c>
      <c r="BK22" s="28">
        <v>5.7933620178306926E-9</v>
      </c>
      <c r="BL22" s="28">
        <v>3.1154721960402385E-9</v>
      </c>
      <c r="BM22" s="28">
        <v>4.3758237424978439E-10</v>
      </c>
      <c r="BN22" s="28">
        <v>4.0160705316820867E-10</v>
      </c>
      <c r="BO22" s="28">
        <v>3.6563173208663295E-10</v>
      </c>
      <c r="BP22" s="28">
        <v>3.2965641100505723E-10</v>
      </c>
      <c r="BQ22" s="28">
        <v>2.9368108992348151E-10</v>
      </c>
      <c r="BR22" s="28">
        <v>2.5770576884190579E-10</v>
      </c>
      <c r="BS22" s="28">
        <v>2.217304477603301E-10</v>
      </c>
      <c r="BT22" s="28">
        <v>1.857551266787544E-10</v>
      </c>
      <c r="BU22" s="28">
        <v>1.4977980559717871E-10</v>
      </c>
      <c r="BV22" s="28">
        <v>1.1380448451560302E-10</v>
      </c>
      <c r="BW22" s="28">
        <v>7.7829163434027321E-11</v>
      </c>
      <c r="BX22" s="28">
        <v>4.1853842352451627E-11</v>
      </c>
      <c r="BY22" s="28">
        <v>5.8785212708759329E-12</v>
      </c>
      <c r="BZ22" s="28">
        <v>5.3952214291904604E-12</v>
      </c>
      <c r="CA22" s="28">
        <v>4.9119215875049878E-12</v>
      </c>
      <c r="CB22" s="28">
        <v>4.4286217458195152E-12</v>
      </c>
      <c r="CC22" s="28">
        <v>3.9453219041340426E-12</v>
      </c>
      <c r="CD22" s="28">
        <v>3.46202206244857E-12</v>
      </c>
      <c r="CE22" s="28">
        <v>2.9787222207630974E-12</v>
      </c>
      <c r="CF22" s="28">
        <v>2.4954223790776248E-12</v>
      </c>
      <c r="CG22" s="28">
        <v>2.0121225373921523E-12</v>
      </c>
      <c r="CH22" s="28">
        <v>1.5288226957066797E-12</v>
      </c>
      <c r="CI22" s="28">
        <v>1.0455228540212071E-12</v>
      </c>
      <c r="CJ22" s="28">
        <v>5.622230123357346E-13</v>
      </c>
      <c r="CK22" s="28">
        <v>7.8923170650262112E-14</v>
      </c>
      <c r="CL22" s="28">
        <v>7.2430421455792036E-14</v>
      </c>
      <c r="CM22" s="28">
        <v>6.5937672261321961E-14</v>
      </c>
      <c r="CN22" s="28">
        <v>5.9444923066851886E-14</v>
      </c>
      <c r="CO22" s="28">
        <v>5.2952173872381816E-14</v>
      </c>
      <c r="CP22" s="28">
        <v>4.6459424677911747E-14</v>
      </c>
      <c r="CQ22" s="28">
        <v>3.9966675483441678E-14</v>
      </c>
      <c r="CR22" s="28">
        <v>3.3473926288971609E-14</v>
      </c>
      <c r="CS22" s="28">
        <v>2.6981177094501537E-14</v>
      </c>
      <c r="CT22" s="28">
        <v>2.0488427900031465E-14</v>
      </c>
      <c r="CU22" s="28">
        <v>1.3995678705561393E-14</v>
      </c>
      <c r="CV22" s="28">
        <v>7.5029295110913203E-15</v>
      </c>
      <c r="CW22" s="28">
        <v>1.0101803166212489E-15</v>
      </c>
      <c r="CX22" s="28">
        <v>9.2295539232730233E-16</v>
      </c>
      <c r="CY22" s="28">
        <v>8.3573046803335565E-16</v>
      </c>
      <c r="CZ22" s="28">
        <v>7.4850554373940897E-16</v>
      </c>
      <c r="DA22" s="28">
        <v>6.6128061944546229E-16</v>
      </c>
      <c r="DB22" s="28">
        <v>5.7405569515151562E-16</v>
      </c>
      <c r="DC22" s="28">
        <v>4.8683077085756894E-16</v>
      </c>
      <c r="DD22" s="28">
        <v>3.9960584656362226E-16</v>
      </c>
      <c r="DE22" s="28">
        <v>3.1238092226967558E-16</v>
      </c>
      <c r="DF22" s="28">
        <v>2.251559979757289E-16</v>
      </c>
      <c r="DG22" s="28">
        <v>1.3793107368178223E-16</v>
      </c>
      <c r="DH22" s="28">
        <v>5.0706149387835561E-17</v>
      </c>
      <c r="DI22" s="29">
        <v>0</v>
      </c>
      <c r="DJ22" s="30"/>
      <c r="DK22" s="30"/>
      <c r="DL22" s="30"/>
      <c r="DM22" s="30"/>
      <c r="DN22" s="30"/>
      <c r="DO22" s="30"/>
      <c r="DP22" s="30"/>
      <c r="DQ22" s="30"/>
      <c r="DR22" s="30"/>
      <c r="DS22" s="30"/>
      <c r="DT22" s="30"/>
      <c r="DU22" s="30"/>
      <c r="DV22" s="30"/>
      <c r="DW22" s="30"/>
      <c r="DX22" s="30"/>
      <c r="DY22" s="30"/>
      <c r="DZ22" s="30"/>
      <c r="EA22" s="30"/>
      <c r="EB22" s="30"/>
      <c r="EC22" s="30"/>
      <c r="ED22" s="30"/>
      <c r="EE22" s="30"/>
      <c r="EF22" s="30"/>
      <c r="EG22" s="30"/>
      <c r="EH22" s="30"/>
      <c r="EI22" s="30"/>
      <c r="EJ22" s="30"/>
      <c r="EK22" s="30"/>
      <c r="EL22" s="30"/>
      <c r="EM22" s="30"/>
      <c r="EN22" s="30"/>
      <c r="EO22" s="30"/>
      <c r="EP22" s="30"/>
      <c r="EQ22" s="30"/>
      <c r="ER22" s="30"/>
      <c r="ES22" s="30"/>
      <c r="ET22" s="30"/>
      <c r="EU22" s="30"/>
      <c r="EV22" s="30"/>
      <c r="EW22" s="30"/>
      <c r="EX22" s="30"/>
      <c r="EY22" s="30"/>
      <c r="EZ22" s="30"/>
      <c r="FA22" s="30"/>
      <c r="FB22" s="30"/>
      <c r="FC22" s="30"/>
      <c r="FD22" s="30"/>
      <c r="FE22" s="30"/>
      <c r="FF22" s="30"/>
      <c r="FG22" s="30"/>
      <c r="FH22" s="30"/>
      <c r="FI22" s="30"/>
      <c r="FJ22" s="30"/>
      <c r="FK22" s="30"/>
      <c r="FL22" s="30"/>
      <c r="FM22" s="30"/>
      <c r="FN22" s="30"/>
      <c r="FO22" s="30"/>
      <c r="FP22" s="30"/>
      <c r="FQ22" s="30"/>
      <c r="FR22" s="30"/>
      <c r="FS22" s="30"/>
      <c r="FT22" s="30"/>
      <c r="FU22" s="30"/>
      <c r="FV22" s="30"/>
      <c r="FW22" s="30"/>
      <c r="FX22" s="30"/>
      <c r="FY22" s="30"/>
      <c r="FZ22" s="30"/>
      <c r="GA22" s="30"/>
      <c r="GB22" s="30"/>
      <c r="GC22" s="30"/>
      <c r="GD22" s="30"/>
      <c r="GE22" s="30"/>
      <c r="GF22" s="30"/>
      <c r="GG22" s="30"/>
      <c r="GH22" s="30"/>
      <c r="GI22" s="30"/>
      <c r="GJ22" s="30"/>
      <c r="GK22" s="30"/>
      <c r="GL22" s="30"/>
      <c r="GM22" s="30"/>
      <c r="GN22" s="30"/>
      <c r="GO22" s="30"/>
      <c r="GP22" s="30"/>
      <c r="GQ22" s="30"/>
      <c r="GR22" s="30"/>
      <c r="GS22" s="30"/>
      <c r="GT22" s="30"/>
      <c r="GU22" s="30"/>
      <c r="GV22" s="30"/>
      <c r="GW22" s="30"/>
      <c r="GX22" s="30"/>
      <c r="GY22" s="30"/>
      <c r="GZ22" s="30"/>
      <c r="HA22" s="30"/>
      <c r="HB22" s="30"/>
      <c r="HC22" s="30"/>
      <c r="HD22" s="30"/>
      <c r="HE22" s="30"/>
      <c r="HF22" s="30"/>
      <c r="HG22" s="30"/>
      <c r="HH22" s="30"/>
      <c r="HI22" s="30"/>
      <c r="HJ22" s="30"/>
      <c r="HK22" s="30"/>
      <c r="HL22" s="30"/>
      <c r="HM22" s="30"/>
      <c r="HN22" s="30"/>
      <c r="HO22" s="30"/>
      <c r="HP22" s="30"/>
      <c r="HQ22" s="30"/>
      <c r="HR22" s="30"/>
      <c r="HS22" s="30"/>
      <c r="HT22" s="30"/>
      <c r="HU22" s="30"/>
      <c r="HV22" s="30"/>
      <c r="HW22" s="30"/>
      <c r="HX22" s="30"/>
      <c r="HY22" s="30"/>
      <c r="HZ22" s="30"/>
      <c r="IA22" s="30"/>
      <c r="IB22" s="30"/>
      <c r="IC22" s="30"/>
      <c r="ID22" s="30"/>
      <c r="IE22" s="30"/>
      <c r="IF22" s="30"/>
      <c r="IG22" s="30"/>
      <c r="IH22" s="30"/>
      <c r="II22" s="30"/>
      <c r="IJ22" s="30"/>
      <c r="IK22" s="31"/>
      <c r="IL22" s="30"/>
      <c r="IM22" s="30"/>
      <c r="IN22" s="30"/>
      <c r="IO22" s="30"/>
      <c r="IP22" s="30"/>
      <c r="IQ22" s="30"/>
      <c r="IR22" s="30"/>
      <c r="IS22" s="30"/>
      <c r="IT22" s="30"/>
      <c r="IU22" s="30"/>
      <c r="IV22" s="30"/>
      <c r="IW22" s="30"/>
      <c r="IX22" s="30"/>
      <c r="IY22" s="30"/>
      <c r="IZ22" s="30"/>
      <c r="JA22" s="30"/>
      <c r="JB22" s="30"/>
      <c r="JC22" s="30"/>
      <c r="JD22" s="30"/>
      <c r="JE22" s="30"/>
      <c r="JF22" s="30"/>
      <c r="JG22" s="30"/>
      <c r="JH22" s="30"/>
      <c r="JI22" s="30"/>
      <c r="JJ22" s="30"/>
      <c r="JK22" s="30"/>
      <c r="JL22" s="30"/>
      <c r="JM22" s="30"/>
      <c r="JN22" s="30"/>
      <c r="JO22" s="30"/>
      <c r="JP22" s="30"/>
      <c r="JQ22" s="30"/>
      <c r="JR22" s="30"/>
      <c r="JS22" s="30"/>
      <c r="JT22" s="30"/>
      <c r="JU22" s="30"/>
      <c r="JV22" s="30"/>
      <c r="JW22" s="30"/>
      <c r="JX22" s="30"/>
      <c r="JY22" s="30"/>
      <c r="JZ22" s="30"/>
      <c r="KA22" s="30"/>
      <c r="KB22" s="30"/>
      <c r="KC22" s="30"/>
      <c r="KD22" s="30"/>
      <c r="KE22" s="30"/>
      <c r="KF22" s="30"/>
      <c r="KG22" s="30"/>
      <c r="KH22" s="30"/>
      <c r="KI22" s="30"/>
      <c r="KJ22" s="30"/>
      <c r="KK22" s="30"/>
      <c r="KL22" s="30"/>
      <c r="KM22" s="30"/>
      <c r="KN22" s="30"/>
      <c r="KO22" s="30"/>
      <c r="KP22" s="30"/>
      <c r="KQ22" s="30"/>
      <c r="KR22" s="30"/>
      <c r="KS22" s="30"/>
    </row>
    <row r="23" spans="1:305" ht="12" customHeight="1" x14ac:dyDescent="0.35">
      <c r="A23" s="14"/>
      <c r="B23" s="14"/>
      <c r="C23" s="14"/>
      <c r="D23" s="14"/>
      <c r="E23" s="14"/>
      <c r="F23" s="15"/>
      <c r="G23" s="15"/>
      <c r="H23" s="15"/>
      <c r="I23" s="15"/>
      <c r="J23" s="15"/>
      <c r="K23" s="15"/>
      <c r="L23" s="15"/>
      <c r="M23" s="15"/>
      <c r="N23" s="15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4"/>
      <c r="DG23" s="14"/>
      <c r="DH23" s="14"/>
      <c r="DI23" s="14"/>
      <c r="DJ23" s="14"/>
      <c r="DK23" s="14"/>
      <c r="DL23" s="14"/>
      <c r="DM23" s="14"/>
      <c r="DN23" s="14"/>
      <c r="DO23" s="14"/>
      <c r="DP23" s="14"/>
      <c r="DQ23" s="14"/>
      <c r="DR23" s="14"/>
      <c r="DS23" s="14"/>
      <c r="DT23" s="14"/>
      <c r="DU23" s="14"/>
      <c r="DV23" s="14"/>
      <c r="DW23" s="14"/>
      <c r="DX23" s="14"/>
      <c r="DY23" s="14"/>
      <c r="DZ23" s="14"/>
      <c r="EA23" s="14"/>
      <c r="EB23" s="14"/>
      <c r="EC23" s="14"/>
      <c r="ED23" s="14"/>
      <c r="EE23" s="14"/>
      <c r="EF23" s="14"/>
      <c r="EG23" s="14"/>
      <c r="EH23" s="14"/>
      <c r="EI23" s="14"/>
      <c r="EJ23" s="14"/>
      <c r="EK23" s="14"/>
      <c r="EL23" s="14"/>
      <c r="EM23" s="14"/>
      <c r="EN23" s="14"/>
      <c r="EO23" s="14"/>
      <c r="EP23" s="14"/>
      <c r="EQ23" s="14"/>
      <c r="ER23" s="14"/>
      <c r="ES23" s="14"/>
      <c r="ET23" s="14"/>
      <c r="EU23" s="14"/>
      <c r="EV23" s="14"/>
      <c r="EW23" s="14"/>
      <c r="EX23" s="14"/>
      <c r="EY23" s="14"/>
      <c r="EZ23" s="14"/>
      <c r="FA23" s="14"/>
      <c r="FB23" s="14"/>
      <c r="FC23" s="14"/>
      <c r="FD23" s="14"/>
      <c r="FE23" s="14"/>
      <c r="FF23" s="14"/>
      <c r="FG23" s="14"/>
      <c r="FH23" s="14"/>
      <c r="FI23" s="14"/>
      <c r="FJ23" s="14"/>
      <c r="FK23" s="14"/>
      <c r="FL23" s="14"/>
      <c r="FM23" s="14"/>
      <c r="FN23" s="14"/>
      <c r="FO23" s="14"/>
      <c r="FP23" s="14"/>
      <c r="FQ23" s="14"/>
      <c r="FR23" s="14"/>
      <c r="FS23" s="14"/>
      <c r="FT23" s="14"/>
      <c r="FU23" s="14"/>
      <c r="FV23" s="14"/>
      <c r="FW23" s="14"/>
      <c r="FX23" s="14"/>
      <c r="FY23" s="14"/>
      <c r="FZ23" s="14"/>
      <c r="GA23" s="14"/>
      <c r="GB23" s="14"/>
      <c r="GC23" s="14"/>
      <c r="GD23" s="14"/>
      <c r="GE23" s="14"/>
      <c r="GF23" s="14"/>
      <c r="GG23" s="14"/>
      <c r="GH23" s="14"/>
      <c r="GI23" s="14"/>
      <c r="GJ23" s="14"/>
      <c r="GK23" s="14"/>
      <c r="GL23" s="14"/>
      <c r="GM23" s="14"/>
      <c r="GN23" s="14"/>
      <c r="GO23" s="14"/>
      <c r="GP23" s="14"/>
      <c r="GQ23" s="14"/>
      <c r="GR23" s="14"/>
      <c r="GS23" s="14"/>
      <c r="GT23" s="14"/>
      <c r="GU23" s="14"/>
      <c r="GV23" s="14"/>
      <c r="GW23" s="14"/>
      <c r="GX23" s="14"/>
      <c r="GY23" s="14"/>
      <c r="GZ23" s="14"/>
      <c r="HA23" s="14"/>
      <c r="HB23" s="14"/>
      <c r="HC23" s="14"/>
      <c r="HD23" s="14"/>
      <c r="HE23" s="14"/>
      <c r="HF23" s="14"/>
      <c r="HG23" s="14"/>
      <c r="HH23" s="14"/>
      <c r="HI23" s="14"/>
      <c r="HJ23" s="14"/>
      <c r="HK23" s="14"/>
      <c r="HL23" s="14"/>
      <c r="HM23" s="14"/>
      <c r="HN23" s="14"/>
      <c r="HO23" s="14"/>
      <c r="HP23" s="14"/>
      <c r="HQ23" s="14"/>
      <c r="HR23" s="14"/>
      <c r="HS23" s="14"/>
      <c r="HT23" s="14"/>
      <c r="HU23" s="14"/>
      <c r="HV23" s="14"/>
      <c r="HW23" s="14"/>
      <c r="HX23" s="14"/>
      <c r="HY23" s="14"/>
      <c r="HZ23" s="14"/>
      <c r="IA23" s="14"/>
      <c r="IB23" s="14"/>
      <c r="IC23" s="14"/>
      <c r="ID23" s="14"/>
      <c r="IE23" s="14"/>
      <c r="IF23" s="14"/>
      <c r="IG23" s="14"/>
      <c r="IH23" s="14"/>
      <c r="II23" s="14"/>
      <c r="IJ23" s="14"/>
      <c r="IK23" s="14"/>
      <c r="IL23" s="30"/>
      <c r="IM23" s="30"/>
      <c r="IN23" s="30"/>
      <c r="IO23" s="30"/>
      <c r="IP23" s="30"/>
      <c r="IQ23" s="30"/>
      <c r="IR23" s="30"/>
      <c r="IS23" s="30"/>
      <c r="IT23" s="30"/>
      <c r="IU23" s="30"/>
      <c r="IV23" s="30"/>
      <c r="IW23" s="30"/>
      <c r="IX23" s="30"/>
      <c r="IY23" s="30"/>
      <c r="IZ23" s="30"/>
      <c r="JA23" s="30"/>
      <c r="JB23" s="30"/>
      <c r="JC23" s="30"/>
      <c r="JD23" s="30"/>
      <c r="JE23" s="30"/>
      <c r="JF23" s="30"/>
      <c r="JG23" s="30"/>
      <c r="JH23" s="30"/>
      <c r="JI23" s="30"/>
      <c r="JJ23" s="30"/>
      <c r="JK23" s="30"/>
      <c r="JL23" s="30"/>
      <c r="JM23" s="30"/>
      <c r="JN23" s="30"/>
      <c r="JO23" s="30"/>
      <c r="JP23" s="30"/>
      <c r="JQ23" s="30"/>
      <c r="JR23" s="30"/>
      <c r="JS23" s="30"/>
      <c r="JT23" s="30"/>
      <c r="JU23" s="30"/>
      <c r="JV23" s="30"/>
      <c r="JW23" s="30"/>
      <c r="JX23" s="30"/>
      <c r="JY23" s="30"/>
      <c r="JZ23" s="30"/>
      <c r="KA23" s="30"/>
      <c r="KB23" s="30"/>
      <c r="KC23" s="30"/>
      <c r="KD23" s="30"/>
      <c r="KE23" s="30"/>
      <c r="KF23" s="30"/>
      <c r="KG23" s="30"/>
      <c r="KH23" s="30"/>
      <c r="KI23" s="30"/>
      <c r="KJ23" s="30"/>
      <c r="KK23" s="30"/>
      <c r="KL23" s="30"/>
      <c r="KM23" s="30"/>
      <c r="KN23" s="30"/>
      <c r="KO23" s="30"/>
      <c r="KP23" s="30"/>
      <c r="KQ23" s="30"/>
      <c r="KR23" s="30"/>
      <c r="KS23" s="30"/>
    </row>
    <row r="24" spans="1:305" ht="12" customHeight="1" x14ac:dyDescent="0.35">
      <c r="A24" s="14"/>
      <c r="B24" s="16" t="s">
        <v>416</v>
      </c>
      <c r="C24" s="17" t="s">
        <v>34</v>
      </c>
      <c r="D24" s="14"/>
      <c r="E24" s="17" t="s">
        <v>35</v>
      </c>
      <c r="F24" s="18">
        <v>0.62556067793572601</v>
      </c>
      <c r="G24" s="19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N24" s="14"/>
      <c r="DO24" s="14"/>
      <c r="DP24" s="14"/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4"/>
      <c r="EC24" s="14"/>
      <c r="ED24" s="14"/>
      <c r="EE24" s="14"/>
      <c r="EF24" s="14"/>
      <c r="EG24" s="14"/>
      <c r="EH24" s="14"/>
      <c r="EI24" s="14"/>
      <c r="EJ24" s="14"/>
      <c r="EK24" s="14"/>
      <c r="EL24" s="14"/>
      <c r="EM24" s="14"/>
      <c r="EN24" s="14"/>
      <c r="EO24" s="14"/>
      <c r="EP24" s="14"/>
      <c r="EQ24" s="14"/>
      <c r="ER24" s="14"/>
      <c r="ES24" s="14"/>
      <c r="ET24" s="14"/>
      <c r="EU24" s="14"/>
      <c r="EV24" s="14"/>
      <c r="EW24" s="14"/>
      <c r="EX24" s="14"/>
      <c r="EY24" s="14"/>
      <c r="EZ24" s="14"/>
      <c r="FA24" s="14"/>
      <c r="FB24" s="14"/>
      <c r="FC24" s="14"/>
      <c r="FD24" s="14"/>
      <c r="FE24" s="14"/>
      <c r="FF24" s="14"/>
      <c r="FG24" s="14"/>
      <c r="FH24" s="14"/>
      <c r="FI24" s="14"/>
      <c r="FJ24" s="14"/>
      <c r="FK24" s="14"/>
      <c r="FL24" s="14"/>
      <c r="FM24" s="14"/>
      <c r="FN24" s="14"/>
      <c r="FO24" s="14"/>
      <c r="FP24" s="14"/>
      <c r="FQ24" s="14"/>
      <c r="FR24" s="14"/>
      <c r="FS24" s="14"/>
      <c r="FT24" s="14"/>
      <c r="FU24" s="14"/>
      <c r="FV24" s="14"/>
      <c r="FW24" s="14"/>
      <c r="FX24" s="14"/>
      <c r="FY24" s="14"/>
      <c r="FZ24" s="14"/>
      <c r="GA24" s="14"/>
      <c r="GB24" s="14"/>
      <c r="GC24" s="14"/>
      <c r="GD24" s="14"/>
      <c r="GE24" s="14"/>
      <c r="GF24" s="14"/>
      <c r="GG24" s="14"/>
      <c r="GH24" s="14"/>
      <c r="GI24" s="14"/>
      <c r="GJ24" s="14"/>
      <c r="GK24" s="14"/>
      <c r="GL24" s="14"/>
      <c r="GM24" s="14"/>
      <c r="GN24" s="14"/>
      <c r="GO24" s="14"/>
      <c r="GP24" s="14"/>
      <c r="GQ24" s="14"/>
      <c r="GR24" s="14"/>
      <c r="GS24" s="14"/>
      <c r="GT24" s="14"/>
      <c r="GU24" s="14"/>
      <c r="GV24" s="14"/>
      <c r="GW24" s="14"/>
      <c r="GX24" s="14"/>
      <c r="GY24" s="14"/>
      <c r="GZ24" s="14"/>
      <c r="HA24" s="14"/>
      <c r="HB24" s="14"/>
      <c r="HC24" s="14"/>
      <c r="HD24" s="14"/>
      <c r="HE24" s="14"/>
      <c r="HF24" s="14"/>
      <c r="HG24" s="14"/>
      <c r="HH24" s="14"/>
      <c r="HI24" s="14"/>
      <c r="HJ24" s="14"/>
      <c r="HK24" s="14"/>
      <c r="HL24" s="14"/>
      <c r="HM24" s="14"/>
      <c r="HN24" s="14"/>
      <c r="HO24" s="14"/>
      <c r="HP24" s="14"/>
      <c r="HQ24" s="14"/>
      <c r="HR24" s="14"/>
      <c r="HS24" s="14"/>
      <c r="HT24" s="14"/>
      <c r="HU24" s="14"/>
      <c r="HV24" s="14"/>
      <c r="HW24" s="14"/>
      <c r="HX24" s="14"/>
      <c r="HY24" s="14"/>
      <c r="HZ24" s="14"/>
      <c r="IA24" s="14"/>
      <c r="IB24" s="14"/>
      <c r="IC24" s="14"/>
      <c r="ID24" s="14"/>
      <c r="IE24" s="14"/>
      <c r="IF24" s="14"/>
      <c r="IG24" s="14"/>
      <c r="IH24" s="14"/>
      <c r="II24" s="14"/>
      <c r="IJ24" s="14"/>
      <c r="IK24" s="14"/>
      <c r="IL24" s="30"/>
      <c r="IM24" s="30"/>
      <c r="IN24" s="30"/>
      <c r="IO24" s="30"/>
      <c r="IP24" s="30"/>
      <c r="IQ24" s="30"/>
      <c r="IR24" s="30"/>
      <c r="IS24" s="30"/>
      <c r="IT24" s="30"/>
      <c r="IU24" s="30"/>
      <c r="IV24" s="30"/>
      <c r="IW24" s="30"/>
      <c r="IX24" s="30"/>
      <c r="IY24" s="30"/>
      <c r="IZ24" s="30"/>
      <c r="JA24" s="30"/>
      <c r="JB24" s="30"/>
      <c r="JC24" s="30"/>
      <c r="JD24" s="30"/>
      <c r="JE24" s="30"/>
      <c r="JF24" s="30"/>
      <c r="JG24" s="30"/>
      <c r="JH24" s="30"/>
      <c r="JI24" s="30"/>
      <c r="JJ24" s="30"/>
      <c r="JK24" s="30"/>
      <c r="JL24" s="30"/>
      <c r="JM24" s="30"/>
      <c r="JN24" s="30"/>
      <c r="JO24" s="30"/>
      <c r="JP24" s="30"/>
      <c r="JQ24" s="30"/>
      <c r="JR24" s="30"/>
      <c r="JS24" s="30"/>
      <c r="JT24" s="30"/>
      <c r="JU24" s="30"/>
      <c r="JV24" s="30"/>
      <c r="JW24" s="30"/>
      <c r="JX24" s="30"/>
      <c r="JY24" s="30"/>
      <c r="JZ24" s="30"/>
      <c r="KA24" s="30"/>
      <c r="KB24" s="30"/>
      <c r="KC24" s="30"/>
      <c r="KD24" s="30"/>
      <c r="KE24" s="30"/>
      <c r="KF24" s="30"/>
      <c r="KG24" s="30"/>
      <c r="KH24" s="30"/>
      <c r="KI24" s="30"/>
      <c r="KJ24" s="30"/>
      <c r="KK24" s="30"/>
      <c r="KL24" s="30"/>
      <c r="KM24" s="30"/>
      <c r="KN24" s="30"/>
      <c r="KO24" s="30"/>
      <c r="KP24" s="30"/>
      <c r="KQ24" s="30"/>
      <c r="KR24" s="30"/>
      <c r="KS24" s="30"/>
    </row>
    <row r="25" spans="1:305" ht="12" customHeight="1" x14ac:dyDescent="0.35">
      <c r="A25" s="14"/>
      <c r="B25" s="14"/>
      <c r="C25" s="14"/>
      <c r="D25" s="14"/>
      <c r="E25" s="20" t="s">
        <v>18</v>
      </c>
      <c r="F25" s="21" t="s">
        <v>36</v>
      </c>
      <c r="G25" s="21" t="s">
        <v>37</v>
      </c>
      <c r="H25" s="21" t="s">
        <v>38</v>
      </c>
      <c r="I25" s="21" t="s">
        <v>39</v>
      </c>
      <c r="J25" s="21" t="s">
        <v>40</v>
      </c>
      <c r="K25" s="21" t="s">
        <v>41</v>
      </c>
      <c r="L25" s="21" t="s">
        <v>42</v>
      </c>
      <c r="M25" s="21" t="s">
        <v>43</v>
      </c>
      <c r="N25" s="21" t="s">
        <v>44</v>
      </c>
      <c r="O25" s="21" t="s">
        <v>45</v>
      </c>
      <c r="P25" s="21" t="s">
        <v>46</v>
      </c>
      <c r="Q25" s="21" t="s">
        <v>47</v>
      </c>
      <c r="R25" s="21" t="s">
        <v>48</v>
      </c>
      <c r="S25" s="21" t="s">
        <v>49</v>
      </c>
      <c r="T25" s="21" t="s">
        <v>50</v>
      </c>
      <c r="U25" s="21" t="s">
        <v>51</v>
      </c>
      <c r="V25" s="21" t="s">
        <v>52</v>
      </c>
      <c r="W25" s="21" t="s">
        <v>53</v>
      </c>
      <c r="X25" s="21" t="s">
        <v>54</v>
      </c>
      <c r="Y25" s="21" t="s">
        <v>55</v>
      </c>
      <c r="Z25" s="21" t="s">
        <v>56</v>
      </c>
      <c r="AA25" s="21" t="s">
        <v>57</v>
      </c>
      <c r="AB25" s="21" t="s">
        <v>58</v>
      </c>
      <c r="AC25" s="21" t="s">
        <v>59</v>
      </c>
      <c r="AD25" s="22" t="s">
        <v>60</v>
      </c>
      <c r="AE25" s="22" t="s">
        <v>61</v>
      </c>
      <c r="AF25" s="22" t="s">
        <v>62</v>
      </c>
      <c r="AG25" s="22" t="s">
        <v>63</v>
      </c>
      <c r="AH25" s="22" t="s">
        <v>64</v>
      </c>
      <c r="AI25" s="22" t="s">
        <v>65</v>
      </c>
      <c r="AJ25" s="22" t="s">
        <v>66</v>
      </c>
      <c r="AK25" s="22" t="s">
        <v>67</v>
      </c>
      <c r="AL25" s="22" t="s">
        <v>68</v>
      </c>
      <c r="AM25" s="22" t="s">
        <v>69</v>
      </c>
      <c r="AN25" s="22" t="s">
        <v>70</v>
      </c>
      <c r="AO25" s="22" t="s">
        <v>71</v>
      </c>
      <c r="AP25" s="22" t="s">
        <v>72</v>
      </c>
      <c r="AQ25" s="22" t="s">
        <v>73</v>
      </c>
      <c r="AR25" s="22" t="s">
        <v>74</v>
      </c>
      <c r="AS25" s="22" t="s">
        <v>75</v>
      </c>
      <c r="AT25" s="22" t="s">
        <v>76</v>
      </c>
      <c r="AU25" s="22" t="s">
        <v>77</v>
      </c>
      <c r="AV25" s="22" t="s">
        <v>78</v>
      </c>
      <c r="AW25" s="22" t="s">
        <v>79</v>
      </c>
      <c r="AX25" s="22" t="s">
        <v>80</v>
      </c>
      <c r="AY25" s="22" t="s">
        <v>81</v>
      </c>
      <c r="AZ25" s="22" t="s">
        <v>82</v>
      </c>
      <c r="BA25" s="22" t="s">
        <v>83</v>
      </c>
      <c r="BB25" s="22" t="s">
        <v>84</v>
      </c>
      <c r="BC25" s="22" t="s">
        <v>85</v>
      </c>
      <c r="BD25" s="22" t="s">
        <v>86</v>
      </c>
      <c r="BE25" s="22" t="s">
        <v>87</v>
      </c>
      <c r="BF25" s="22" t="s">
        <v>88</v>
      </c>
      <c r="BG25" s="22" t="s">
        <v>89</v>
      </c>
      <c r="BH25" s="22" t="s">
        <v>90</v>
      </c>
      <c r="BI25" s="22" t="s">
        <v>91</v>
      </c>
      <c r="BJ25" s="22" t="s">
        <v>92</v>
      </c>
      <c r="BK25" s="22" t="s">
        <v>93</v>
      </c>
      <c r="BL25" s="22" t="s">
        <v>94</v>
      </c>
      <c r="BM25" s="22" t="s">
        <v>95</v>
      </c>
      <c r="BN25" s="22" t="s">
        <v>96</v>
      </c>
      <c r="BO25" s="22" t="s">
        <v>97</v>
      </c>
      <c r="BP25" s="22" t="s">
        <v>98</v>
      </c>
      <c r="BQ25" s="22" t="s">
        <v>99</v>
      </c>
      <c r="BR25" s="22" t="s">
        <v>100</v>
      </c>
      <c r="BS25" s="22" t="s">
        <v>101</v>
      </c>
      <c r="BT25" s="22" t="s">
        <v>102</v>
      </c>
      <c r="BU25" s="22" t="s">
        <v>103</v>
      </c>
      <c r="BV25" s="22" t="s">
        <v>104</v>
      </c>
      <c r="BW25" s="22" t="s">
        <v>105</v>
      </c>
      <c r="BX25" s="22" t="s">
        <v>106</v>
      </c>
      <c r="BY25" s="22" t="s">
        <v>107</v>
      </c>
      <c r="BZ25" s="22" t="s">
        <v>108</v>
      </c>
      <c r="CA25" s="22" t="s">
        <v>109</v>
      </c>
      <c r="CB25" s="22" t="s">
        <v>110</v>
      </c>
      <c r="CC25" s="22" t="s">
        <v>111</v>
      </c>
      <c r="CD25" s="22" t="s">
        <v>112</v>
      </c>
      <c r="CE25" s="22" t="s">
        <v>113</v>
      </c>
      <c r="CF25" s="22" t="s">
        <v>114</v>
      </c>
      <c r="CG25" s="22" t="s">
        <v>115</v>
      </c>
      <c r="CH25" s="22" t="s">
        <v>116</v>
      </c>
      <c r="CI25" s="22" t="s">
        <v>117</v>
      </c>
      <c r="CJ25" s="22" t="s">
        <v>118</v>
      </c>
      <c r="CK25" s="22" t="s">
        <v>119</v>
      </c>
      <c r="CL25" s="22" t="s">
        <v>120</v>
      </c>
      <c r="CM25" s="22" t="s">
        <v>121</v>
      </c>
      <c r="CN25" s="22" t="s">
        <v>122</v>
      </c>
      <c r="CO25" s="22" t="s">
        <v>123</v>
      </c>
      <c r="CP25" s="22" t="s">
        <v>124</v>
      </c>
      <c r="CQ25" s="22" t="s">
        <v>125</v>
      </c>
      <c r="CR25" s="22" t="s">
        <v>126</v>
      </c>
      <c r="CS25" s="22" t="s">
        <v>127</v>
      </c>
      <c r="CT25" s="22" t="s">
        <v>128</v>
      </c>
      <c r="CU25" s="22" t="s">
        <v>129</v>
      </c>
      <c r="CV25" s="22" t="s">
        <v>130</v>
      </c>
      <c r="CW25" s="22" t="s">
        <v>131</v>
      </c>
      <c r="CX25" s="22" t="s">
        <v>132</v>
      </c>
      <c r="CY25" s="22" t="s">
        <v>133</v>
      </c>
      <c r="CZ25" s="22" t="s">
        <v>134</v>
      </c>
      <c r="DA25" s="22" t="s">
        <v>135</v>
      </c>
      <c r="DB25" s="22" t="s">
        <v>136</v>
      </c>
      <c r="DC25" s="22" t="s">
        <v>137</v>
      </c>
      <c r="DD25" s="22" t="s">
        <v>138</v>
      </c>
      <c r="DE25" s="22" t="s">
        <v>139</v>
      </c>
      <c r="DF25" s="22" t="s">
        <v>140</v>
      </c>
      <c r="DG25" s="22" t="s">
        <v>141</v>
      </c>
      <c r="DH25" s="22" t="s">
        <v>142</v>
      </c>
      <c r="DI25" s="22" t="s">
        <v>143</v>
      </c>
      <c r="DJ25" s="22" t="s">
        <v>144</v>
      </c>
      <c r="DK25" s="22" t="s">
        <v>145</v>
      </c>
      <c r="DL25" s="22" t="s">
        <v>146</v>
      </c>
      <c r="DM25" s="22" t="s">
        <v>147</v>
      </c>
      <c r="DN25" s="22" t="s">
        <v>148</v>
      </c>
      <c r="DO25" s="22" t="s">
        <v>149</v>
      </c>
      <c r="DP25" s="22" t="s">
        <v>150</v>
      </c>
      <c r="DQ25" s="22" t="s">
        <v>151</v>
      </c>
      <c r="DR25" s="22" t="s">
        <v>152</v>
      </c>
      <c r="DS25" s="22" t="s">
        <v>153</v>
      </c>
      <c r="DT25" s="22" t="s">
        <v>154</v>
      </c>
      <c r="DU25" s="22" t="s">
        <v>155</v>
      </c>
      <c r="DV25" s="22" t="s">
        <v>156</v>
      </c>
      <c r="DW25" s="22" t="s">
        <v>157</v>
      </c>
      <c r="DX25" s="22" t="s">
        <v>158</v>
      </c>
      <c r="DY25" s="22" t="s">
        <v>159</v>
      </c>
      <c r="DZ25" s="22" t="s">
        <v>160</v>
      </c>
      <c r="EA25" s="22" t="s">
        <v>161</v>
      </c>
      <c r="EB25" s="22" t="s">
        <v>162</v>
      </c>
      <c r="EC25" s="22" t="s">
        <v>163</v>
      </c>
      <c r="ED25" s="22" t="s">
        <v>164</v>
      </c>
      <c r="EE25" s="22" t="s">
        <v>165</v>
      </c>
      <c r="EF25" s="22" t="s">
        <v>166</v>
      </c>
      <c r="EG25" s="22" t="s">
        <v>167</v>
      </c>
      <c r="EH25" s="22" t="s">
        <v>168</v>
      </c>
      <c r="EI25" s="22" t="s">
        <v>169</v>
      </c>
      <c r="EJ25" s="22" t="s">
        <v>170</v>
      </c>
      <c r="EK25" s="22" t="s">
        <v>171</v>
      </c>
      <c r="EL25" s="22" t="s">
        <v>172</v>
      </c>
      <c r="EM25" s="22" t="s">
        <v>173</v>
      </c>
      <c r="EN25" s="22" t="s">
        <v>174</v>
      </c>
      <c r="EO25" s="22" t="s">
        <v>175</v>
      </c>
      <c r="EP25" s="22" t="s">
        <v>176</v>
      </c>
      <c r="EQ25" s="22" t="s">
        <v>177</v>
      </c>
      <c r="ER25" s="22" t="s">
        <v>178</v>
      </c>
      <c r="ES25" s="22" t="s">
        <v>179</v>
      </c>
      <c r="ET25" s="22" t="s">
        <v>180</v>
      </c>
      <c r="EU25" s="22" t="s">
        <v>181</v>
      </c>
      <c r="EV25" s="22" t="s">
        <v>182</v>
      </c>
      <c r="EW25" s="22" t="s">
        <v>183</v>
      </c>
      <c r="EX25" s="22" t="s">
        <v>184</v>
      </c>
      <c r="EY25" s="22" t="s">
        <v>185</v>
      </c>
      <c r="EZ25" s="22" t="s">
        <v>186</v>
      </c>
      <c r="FA25" s="22" t="s">
        <v>187</v>
      </c>
      <c r="FB25" s="22" t="s">
        <v>188</v>
      </c>
      <c r="FC25" s="22" t="s">
        <v>189</v>
      </c>
      <c r="FD25" s="22" t="s">
        <v>190</v>
      </c>
      <c r="FE25" s="22" t="s">
        <v>191</v>
      </c>
      <c r="FF25" s="23" t="s">
        <v>192</v>
      </c>
      <c r="FG25" s="23" t="s">
        <v>193</v>
      </c>
      <c r="FH25" s="23" t="s">
        <v>194</v>
      </c>
      <c r="FI25" s="23" t="s">
        <v>195</v>
      </c>
      <c r="FJ25" s="23" t="s">
        <v>196</v>
      </c>
      <c r="FK25" s="23" t="s">
        <v>197</v>
      </c>
      <c r="FL25" s="23" t="s">
        <v>198</v>
      </c>
      <c r="FM25" s="23" t="s">
        <v>199</v>
      </c>
      <c r="FN25" s="23" t="s">
        <v>200</v>
      </c>
      <c r="FO25" s="23" t="s">
        <v>201</v>
      </c>
      <c r="FP25" s="23" t="s">
        <v>202</v>
      </c>
      <c r="FQ25" s="23" t="s">
        <v>203</v>
      </c>
      <c r="FR25" s="23" t="s">
        <v>204</v>
      </c>
      <c r="FS25" s="23" t="s">
        <v>205</v>
      </c>
      <c r="FT25" s="23" t="s">
        <v>206</v>
      </c>
      <c r="FU25" s="23" t="s">
        <v>207</v>
      </c>
      <c r="FV25" s="23" t="s">
        <v>208</v>
      </c>
      <c r="FW25" s="23" t="s">
        <v>209</v>
      </c>
      <c r="FX25" s="23" t="s">
        <v>210</v>
      </c>
      <c r="FY25" s="23" t="s">
        <v>211</v>
      </c>
      <c r="FZ25" s="23" t="s">
        <v>212</v>
      </c>
      <c r="GA25" s="23" t="s">
        <v>213</v>
      </c>
      <c r="GB25" s="23" t="s">
        <v>214</v>
      </c>
      <c r="GC25" s="23" t="s">
        <v>215</v>
      </c>
      <c r="GD25" s="27"/>
      <c r="GE25" s="27"/>
      <c r="GF25" s="27"/>
      <c r="GG25" s="27"/>
      <c r="GH25" s="27"/>
      <c r="GI25" s="27"/>
      <c r="GJ25" s="27"/>
      <c r="GK25" s="27"/>
      <c r="GL25" s="27"/>
      <c r="GM25" s="27"/>
      <c r="GN25" s="27"/>
      <c r="GO25" s="27"/>
      <c r="GP25" s="27"/>
      <c r="GQ25" s="27"/>
      <c r="GR25" s="27"/>
      <c r="GS25" s="27"/>
      <c r="GT25" s="27"/>
      <c r="GU25" s="27"/>
      <c r="GV25" s="27"/>
      <c r="GW25" s="27"/>
      <c r="GX25" s="27"/>
      <c r="GY25" s="27"/>
      <c r="GZ25" s="27"/>
      <c r="HA25" s="27"/>
      <c r="HB25" s="27"/>
      <c r="HC25" s="27"/>
      <c r="HD25" s="27"/>
      <c r="HE25" s="27"/>
      <c r="HF25" s="27"/>
      <c r="HG25" s="27"/>
      <c r="HH25" s="27"/>
      <c r="HI25" s="27"/>
      <c r="HJ25" s="27"/>
      <c r="HK25" s="27"/>
      <c r="HL25" s="27"/>
      <c r="HM25" s="27"/>
      <c r="HN25" s="27"/>
      <c r="HO25" s="27"/>
      <c r="HP25" s="27"/>
      <c r="HQ25" s="27"/>
      <c r="HR25" s="27"/>
      <c r="HS25" s="27"/>
      <c r="HT25" s="27"/>
      <c r="HU25" s="27"/>
      <c r="HV25" s="27"/>
      <c r="HW25" s="27"/>
      <c r="HX25" s="27"/>
      <c r="HY25" s="27"/>
      <c r="HZ25" s="27"/>
      <c r="IA25" s="27"/>
      <c r="IB25" s="27"/>
      <c r="IC25" s="27"/>
      <c r="ID25" s="27"/>
      <c r="IE25" s="27"/>
      <c r="IF25" s="27"/>
      <c r="IG25" s="27"/>
      <c r="IH25" s="27"/>
      <c r="II25" s="27"/>
      <c r="IJ25" s="27"/>
      <c r="IK25" s="27"/>
      <c r="IL25" s="27"/>
      <c r="IM25" s="27"/>
      <c r="IN25" s="27"/>
      <c r="IO25" s="27"/>
      <c r="IP25" s="27"/>
      <c r="IQ25" s="27"/>
      <c r="IR25" s="27"/>
      <c r="IS25" s="27"/>
      <c r="IT25" s="27"/>
      <c r="IU25" s="27"/>
      <c r="IV25" s="27"/>
      <c r="IW25" s="27"/>
      <c r="IX25" s="27"/>
      <c r="IY25" s="27"/>
      <c r="IZ25" s="27"/>
      <c r="JA25" s="27"/>
      <c r="JB25" s="27"/>
      <c r="JC25" s="27"/>
      <c r="JD25" s="27"/>
      <c r="JE25" s="27"/>
      <c r="JF25" s="27"/>
      <c r="JG25" s="27"/>
      <c r="JH25" s="27"/>
      <c r="JI25" s="27"/>
      <c r="JJ25" s="27"/>
      <c r="JK25" s="27"/>
      <c r="JL25" s="27"/>
      <c r="JM25" s="27"/>
      <c r="JN25" s="27"/>
      <c r="JO25" s="27"/>
      <c r="JP25" s="27"/>
      <c r="JQ25" s="27"/>
      <c r="JR25" s="27"/>
      <c r="JS25" s="27"/>
      <c r="JT25" s="27"/>
      <c r="JU25" s="27"/>
      <c r="JV25" s="27"/>
      <c r="JW25" s="27"/>
      <c r="JX25" s="27"/>
      <c r="JY25" s="27"/>
      <c r="JZ25" s="27"/>
      <c r="KA25" s="27"/>
      <c r="KB25" s="27"/>
      <c r="KC25" s="27"/>
      <c r="KD25" s="27"/>
      <c r="KE25" s="27"/>
      <c r="KF25" s="27"/>
      <c r="KG25" s="27"/>
      <c r="KH25" s="27"/>
      <c r="KI25" s="27"/>
      <c r="KJ25" s="27"/>
      <c r="KK25" s="27"/>
      <c r="KL25" s="27"/>
      <c r="KM25" s="27"/>
      <c r="KN25" s="27"/>
      <c r="KO25" s="27"/>
      <c r="KP25" s="27"/>
      <c r="KQ25" s="27"/>
      <c r="KR25" s="27"/>
      <c r="KS25" s="27"/>
    </row>
    <row r="26" spans="1:305" ht="12" customHeight="1" x14ac:dyDescent="0.35">
      <c r="A26" s="14"/>
      <c r="B26" s="14"/>
      <c r="C26" s="14"/>
      <c r="D26" s="14"/>
      <c r="E26" s="14"/>
      <c r="F26" s="24">
        <v>1</v>
      </c>
      <c r="G26" s="25">
        <v>0.9594448072398658</v>
      </c>
      <c r="H26" s="25">
        <v>0.91888961447973161</v>
      </c>
      <c r="I26" s="25">
        <v>0.87833442171959741</v>
      </c>
      <c r="J26" s="25">
        <v>0.83777922895946322</v>
      </c>
      <c r="K26" s="25">
        <v>0.79722403619932902</v>
      </c>
      <c r="L26" s="25">
        <v>0.75666884343919483</v>
      </c>
      <c r="M26" s="25">
        <v>0.71611365067906063</v>
      </c>
      <c r="N26" s="25">
        <v>0.67555845791892644</v>
      </c>
      <c r="O26" s="25">
        <v>0.63500326515879224</v>
      </c>
      <c r="P26" s="25">
        <v>0.59444807239865805</v>
      </c>
      <c r="Q26" s="25">
        <v>0.55389287963852385</v>
      </c>
      <c r="R26" s="25">
        <v>0.5396937748100068</v>
      </c>
      <c r="S26" s="25">
        <v>0.52549466998148975</v>
      </c>
      <c r="T26" s="25">
        <v>0.5112955651529727</v>
      </c>
      <c r="U26" s="25">
        <v>0.4970964603244557</v>
      </c>
      <c r="V26" s="25">
        <v>0.48289735549593871</v>
      </c>
      <c r="W26" s="25">
        <v>0.46869825066742171</v>
      </c>
      <c r="X26" s="25">
        <v>0.45449914583890472</v>
      </c>
      <c r="Y26" s="25">
        <v>0.44030004101038772</v>
      </c>
      <c r="Z26" s="25">
        <v>0.42610093618187073</v>
      </c>
      <c r="AA26" s="25">
        <v>0.41190183135335373</v>
      </c>
      <c r="AB26" s="25">
        <v>0.39770272652483674</v>
      </c>
      <c r="AC26" s="25">
        <v>0.38350362169631974</v>
      </c>
      <c r="AD26" s="25">
        <v>0.37364607745046102</v>
      </c>
      <c r="AE26" s="25">
        <v>0.3637885332046023</v>
      </c>
      <c r="AF26" s="25">
        <v>0.35393098895874359</v>
      </c>
      <c r="AG26" s="25">
        <v>0.34407344471288487</v>
      </c>
      <c r="AH26" s="25">
        <v>0.33421590046702615</v>
      </c>
      <c r="AI26" s="25">
        <v>0.32435835622116743</v>
      </c>
      <c r="AJ26" s="25">
        <v>0.31450081197530871</v>
      </c>
      <c r="AK26" s="25">
        <v>0.30464326772945</v>
      </c>
      <c r="AL26" s="25">
        <v>0.29478572348359128</v>
      </c>
      <c r="AM26" s="25">
        <v>0.28492817923773256</v>
      </c>
      <c r="AN26" s="25">
        <v>0.27507063499187384</v>
      </c>
      <c r="AO26" s="25">
        <v>0.26521309074601512</v>
      </c>
      <c r="AP26" s="25">
        <v>0.25836961858825586</v>
      </c>
      <c r="AQ26" s="25">
        <v>0.25152614643049659</v>
      </c>
      <c r="AR26" s="25">
        <v>0.24468267427273732</v>
      </c>
      <c r="AS26" s="25">
        <v>0.23783920211497805</v>
      </c>
      <c r="AT26" s="25">
        <v>0.23099572995721879</v>
      </c>
      <c r="AU26" s="25">
        <v>0.22415225779945952</v>
      </c>
      <c r="AV26" s="25">
        <v>0.21730878564170025</v>
      </c>
      <c r="AW26" s="25">
        <v>0.21046531348394099</v>
      </c>
      <c r="AX26" s="25">
        <v>0.20362184132618172</v>
      </c>
      <c r="AY26" s="25">
        <v>0.19677836916842245</v>
      </c>
      <c r="AZ26" s="25">
        <v>0.18993489701066318</v>
      </c>
      <c r="BA26" s="25">
        <v>0.18309142485290392</v>
      </c>
      <c r="BB26" s="25">
        <v>0.17834043312454298</v>
      </c>
      <c r="BC26" s="25">
        <v>0.17358944139618204</v>
      </c>
      <c r="BD26" s="25">
        <v>0.16883844966782111</v>
      </c>
      <c r="BE26" s="25">
        <v>0.16408745793946017</v>
      </c>
      <c r="BF26" s="25">
        <v>0.15933646621109923</v>
      </c>
      <c r="BG26" s="25">
        <v>0.15458547448273829</v>
      </c>
      <c r="BH26" s="25">
        <v>0.14983448275437736</v>
      </c>
      <c r="BI26" s="25">
        <v>0.14508349102601642</v>
      </c>
      <c r="BJ26" s="25">
        <v>0.14033249929765548</v>
      </c>
      <c r="BK26" s="25">
        <v>0.13558150756929455</v>
      </c>
      <c r="BL26" s="25">
        <v>0.13083051584093361</v>
      </c>
      <c r="BM26" s="25">
        <v>0.12607952411257267</v>
      </c>
      <c r="BN26" s="25">
        <v>0.12278120976532111</v>
      </c>
      <c r="BO26" s="25">
        <v>0.11948289541806956</v>
      </c>
      <c r="BP26" s="25">
        <v>0.116184581070818</v>
      </c>
      <c r="BQ26" s="25">
        <v>0.11288626672356644</v>
      </c>
      <c r="BR26" s="25">
        <v>0.10958795237631488</v>
      </c>
      <c r="BS26" s="25">
        <v>0.10628963802906333</v>
      </c>
      <c r="BT26" s="25">
        <v>0.10299132368181177</v>
      </c>
      <c r="BU26" s="25">
        <v>9.9693009334560212E-2</v>
      </c>
      <c r="BV26" s="25">
        <v>9.6394694987308654E-2</v>
      </c>
      <c r="BW26" s="25">
        <v>9.3096380640057097E-2</v>
      </c>
      <c r="BX26" s="25">
        <v>8.979806629280554E-2</v>
      </c>
      <c r="BY26" s="25">
        <v>8.6499751945553982E-2</v>
      </c>
      <c r="BZ26" s="25">
        <v>8.4209940016742521E-2</v>
      </c>
      <c r="CA26" s="25">
        <v>8.192012808793106E-2</v>
      </c>
      <c r="CB26" s="25">
        <v>7.9630316159119599E-2</v>
      </c>
      <c r="CC26" s="25">
        <v>7.7340504230308138E-2</v>
      </c>
      <c r="CD26" s="25">
        <v>7.5050692301496677E-2</v>
      </c>
      <c r="CE26" s="25">
        <v>7.2760880372685216E-2</v>
      </c>
      <c r="CF26" s="25">
        <v>7.0471068443873755E-2</v>
      </c>
      <c r="CG26" s="25">
        <v>6.8181256515062294E-2</v>
      </c>
      <c r="CH26" s="25">
        <v>6.5891444586250833E-2</v>
      </c>
      <c r="CI26" s="25">
        <v>6.3601632657439372E-2</v>
      </c>
      <c r="CJ26" s="25">
        <v>6.1311820728627911E-2</v>
      </c>
      <c r="CK26" s="25">
        <v>5.902200879981645E-2</v>
      </c>
      <c r="CL26" s="25">
        <v>5.7432336586282162E-2</v>
      </c>
      <c r="CM26" s="25">
        <v>5.5842664372747874E-2</v>
      </c>
      <c r="CN26" s="25">
        <v>5.4252992159213587E-2</v>
      </c>
      <c r="CO26" s="25">
        <v>5.2663319945679299E-2</v>
      </c>
      <c r="CP26" s="25">
        <v>5.1073647732145011E-2</v>
      </c>
      <c r="CQ26" s="25">
        <v>4.9483975518610723E-2</v>
      </c>
      <c r="CR26" s="25">
        <v>4.7894303305076436E-2</v>
      </c>
      <c r="CS26" s="25">
        <v>4.6304631091542148E-2</v>
      </c>
      <c r="CT26" s="25">
        <v>4.471495887800786E-2</v>
      </c>
      <c r="CU26" s="25">
        <v>4.3125286664473572E-2</v>
      </c>
      <c r="CV26" s="25">
        <v>4.1535614450939284E-2</v>
      </c>
      <c r="CW26" s="25">
        <v>3.9945942237404997E-2</v>
      </c>
      <c r="CX26" s="25">
        <v>3.8842332934524534E-2</v>
      </c>
      <c r="CY26" s="25">
        <v>3.7738723631644072E-2</v>
      </c>
      <c r="CZ26" s="25">
        <v>3.663511432876361E-2</v>
      </c>
      <c r="DA26" s="25">
        <v>3.5531505025883148E-2</v>
      </c>
      <c r="DB26" s="25">
        <v>3.4427895723002686E-2</v>
      </c>
      <c r="DC26" s="25">
        <v>3.3324286420122223E-2</v>
      </c>
      <c r="DD26" s="25">
        <v>3.2220677117241761E-2</v>
      </c>
      <c r="DE26" s="25">
        <v>3.1117067814361295E-2</v>
      </c>
      <c r="DF26" s="25">
        <v>3.001345851148083E-2</v>
      </c>
      <c r="DG26" s="25">
        <v>2.8909849208600364E-2</v>
      </c>
      <c r="DH26" s="25">
        <v>2.7806239905719898E-2</v>
      </c>
      <c r="DI26" s="25">
        <v>2.6702630602839433E-2</v>
      </c>
      <c r="DJ26" s="28">
        <v>2.5936464167372553E-2</v>
      </c>
      <c r="DK26" s="28">
        <v>2.5170297731905673E-2</v>
      </c>
      <c r="DL26" s="28">
        <v>2.4404131296438793E-2</v>
      </c>
      <c r="DM26" s="28">
        <v>2.3637964860971913E-2</v>
      </c>
      <c r="DN26" s="28">
        <v>2.2871798425505033E-2</v>
      </c>
      <c r="DO26" s="28">
        <v>2.2105631990038153E-2</v>
      </c>
      <c r="DP26" s="28">
        <v>2.1339465554571273E-2</v>
      </c>
      <c r="DQ26" s="28">
        <v>2.0573299119104393E-2</v>
      </c>
      <c r="DR26" s="28">
        <v>1.9807132683637513E-2</v>
      </c>
      <c r="DS26" s="28">
        <v>1.9040966248170633E-2</v>
      </c>
      <c r="DT26" s="28">
        <v>1.8274799812703753E-2</v>
      </c>
      <c r="DU26" s="28">
        <v>1.7508633377236873E-2</v>
      </c>
      <c r="DV26" s="28">
        <v>1.6976732273011039E-2</v>
      </c>
      <c r="DW26" s="28">
        <v>1.6444831168785205E-2</v>
      </c>
      <c r="DX26" s="28">
        <v>1.591293006455937E-2</v>
      </c>
      <c r="DY26" s="28">
        <v>1.5381028960333535E-2</v>
      </c>
      <c r="DZ26" s="28">
        <v>1.4849127856107699E-2</v>
      </c>
      <c r="EA26" s="28">
        <v>1.4317226751881863E-2</v>
      </c>
      <c r="EB26" s="28">
        <v>1.3785325647656027E-2</v>
      </c>
      <c r="EC26" s="28">
        <v>1.3253424543430191E-2</v>
      </c>
      <c r="ED26" s="28">
        <v>1.2721523439204355E-2</v>
      </c>
      <c r="EE26" s="28">
        <v>1.218962233497852E-2</v>
      </c>
      <c r="EF26" s="28">
        <v>1.1657721230752684E-2</v>
      </c>
      <c r="EG26" s="28">
        <v>1.1125820126526848E-2</v>
      </c>
      <c r="EH26" s="28">
        <v>1.0756554688131258E-2</v>
      </c>
      <c r="EI26" s="28">
        <v>1.0387289249735669E-2</v>
      </c>
      <c r="EJ26" s="28">
        <v>1.0018023811340079E-2</v>
      </c>
      <c r="EK26" s="28">
        <v>9.6487583729444899E-3</v>
      </c>
      <c r="EL26" s="28">
        <v>9.2794929345489004E-3</v>
      </c>
      <c r="EM26" s="28">
        <v>8.9102274961533109E-3</v>
      </c>
      <c r="EN26" s="28">
        <v>8.5409620577577214E-3</v>
      </c>
      <c r="EO26" s="28">
        <v>8.1716966193621319E-3</v>
      </c>
      <c r="EP26" s="28">
        <v>7.8024311809665433E-3</v>
      </c>
      <c r="EQ26" s="28">
        <v>7.4331657425709546E-3</v>
      </c>
      <c r="ER26" s="28">
        <v>7.063900304175366E-3</v>
      </c>
      <c r="ES26" s="28">
        <v>6.6946348657797774E-3</v>
      </c>
      <c r="ET26" s="28">
        <v>6.4382771276398094E-3</v>
      </c>
      <c r="EU26" s="28">
        <v>6.1819193894998414E-3</v>
      </c>
      <c r="EV26" s="28">
        <v>5.9255616513598734E-3</v>
      </c>
      <c r="EW26" s="28">
        <v>5.6692039132199053E-3</v>
      </c>
      <c r="EX26" s="28">
        <v>5.4128461750799373E-3</v>
      </c>
      <c r="EY26" s="28">
        <v>5.1564884369399693E-3</v>
      </c>
      <c r="EZ26" s="28">
        <v>4.9001306988000013E-3</v>
      </c>
      <c r="FA26" s="28">
        <v>4.6437729606600333E-3</v>
      </c>
      <c r="FB26" s="28">
        <v>4.3874152225200653E-3</v>
      </c>
      <c r="FC26" s="28">
        <v>4.1310574843800973E-3</v>
      </c>
      <c r="FD26" s="28">
        <v>3.8746997462401293E-3</v>
      </c>
      <c r="FE26" s="28">
        <v>3.6183420081001613E-3</v>
      </c>
      <c r="FF26" s="28">
        <v>3.4403689755039281E-3</v>
      </c>
      <c r="FG26" s="28">
        <v>3.262395942907695E-3</v>
      </c>
      <c r="FH26" s="28">
        <v>3.0844229103114619E-3</v>
      </c>
      <c r="FI26" s="28">
        <v>2.9064498777152288E-3</v>
      </c>
      <c r="FJ26" s="28">
        <v>2.7284768451189957E-3</v>
      </c>
      <c r="FK26" s="28">
        <v>2.5505038125227626E-3</v>
      </c>
      <c r="FL26" s="28">
        <v>2.3725307799265295E-3</v>
      </c>
      <c r="FM26" s="28">
        <v>2.1945577473302964E-3</v>
      </c>
      <c r="FN26" s="28">
        <v>2.0165847147340633E-3</v>
      </c>
      <c r="FO26" s="28">
        <v>1.8386116821378301E-3</v>
      </c>
      <c r="FP26" s="28">
        <v>1.660638649541597E-3</v>
      </c>
      <c r="FQ26" s="28">
        <v>1.4826656169453639E-3</v>
      </c>
      <c r="FR26" s="28">
        <v>1.3591101488665889E-3</v>
      </c>
      <c r="FS26" s="28">
        <v>1.235554680787814E-3</v>
      </c>
      <c r="FT26" s="28">
        <v>1.111999212709039E-3</v>
      </c>
      <c r="FU26" s="28">
        <v>9.8844374463026401E-4</v>
      </c>
      <c r="FV26" s="28">
        <v>8.6488827655148892E-4</v>
      </c>
      <c r="FW26" s="28">
        <v>7.4133280847271383E-4</v>
      </c>
      <c r="FX26" s="28">
        <v>6.1777734039393875E-4</v>
      </c>
      <c r="FY26" s="28">
        <v>4.9422187231516366E-4</v>
      </c>
      <c r="FZ26" s="28">
        <v>3.7066640423638858E-4</v>
      </c>
      <c r="GA26" s="28">
        <v>2.4711093615761349E-4</v>
      </c>
      <c r="GB26" s="28">
        <v>1.2355546807883843E-4</v>
      </c>
      <c r="GC26" s="29">
        <v>0</v>
      </c>
      <c r="GD26" s="14"/>
      <c r="GE26" s="14"/>
      <c r="GF26" s="14"/>
      <c r="GG26" s="14"/>
      <c r="GH26" s="14"/>
      <c r="GI26" s="14"/>
      <c r="GJ26" s="14"/>
      <c r="GK26" s="14"/>
      <c r="GL26" s="14"/>
      <c r="GM26" s="14"/>
      <c r="GN26" s="14"/>
      <c r="GO26" s="14"/>
      <c r="GP26" s="14"/>
      <c r="GQ26" s="14"/>
      <c r="GR26" s="14"/>
      <c r="GS26" s="14"/>
      <c r="GT26" s="14"/>
      <c r="GU26" s="14"/>
      <c r="GV26" s="14"/>
      <c r="GW26" s="14"/>
      <c r="GX26" s="14"/>
      <c r="GY26" s="14"/>
      <c r="GZ26" s="14"/>
      <c r="HA26" s="14"/>
      <c r="HB26" s="14"/>
      <c r="HC26" s="14"/>
      <c r="HD26" s="14"/>
      <c r="HE26" s="14"/>
      <c r="HF26" s="14"/>
      <c r="HG26" s="14"/>
      <c r="HH26" s="14"/>
      <c r="HI26" s="14"/>
      <c r="HJ26" s="14"/>
      <c r="HK26" s="14"/>
      <c r="HL26" s="14"/>
      <c r="HM26" s="14"/>
      <c r="HN26" s="14"/>
      <c r="HO26" s="14"/>
      <c r="HP26" s="14"/>
      <c r="HQ26" s="14"/>
      <c r="HR26" s="14"/>
      <c r="HS26" s="14"/>
      <c r="HT26" s="14"/>
      <c r="HU26" s="14"/>
      <c r="HV26" s="14"/>
      <c r="HW26" s="14"/>
      <c r="HX26" s="14"/>
      <c r="HY26" s="14"/>
      <c r="HZ26" s="14"/>
      <c r="IA26" s="14"/>
      <c r="IB26" s="14"/>
      <c r="IC26" s="14"/>
      <c r="ID26" s="14"/>
      <c r="IE26" s="14"/>
      <c r="IF26" s="14"/>
      <c r="IG26" s="14"/>
      <c r="IH26" s="14"/>
      <c r="II26" s="14"/>
      <c r="IJ26" s="14"/>
      <c r="IK26" s="14"/>
      <c r="IL26" s="30"/>
      <c r="IM26" s="30"/>
      <c r="IN26" s="30"/>
      <c r="IO26" s="30"/>
      <c r="IP26" s="30"/>
      <c r="IQ26" s="30"/>
      <c r="IR26" s="30"/>
      <c r="IS26" s="30"/>
      <c r="IT26" s="30"/>
      <c r="IU26" s="30"/>
      <c r="IV26" s="30"/>
      <c r="IW26" s="30"/>
      <c r="IX26" s="30"/>
      <c r="IY26" s="30"/>
      <c r="IZ26" s="30"/>
      <c r="JA26" s="30"/>
      <c r="JB26" s="30"/>
      <c r="JC26" s="30"/>
      <c r="JD26" s="30"/>
      <c r="JE26" s="30"/>
      <c r="JF26" s="30"/>
      <c r="JG26" s="30"/>
      <c r="JH26" s="30"/>
      <c r="JI26" s="30"/>
      <c r="JJ26" s="30"/>
      <c r="JK26" s="30"/>
      <c r="JL26" s="30"/>
      <c r="JM26" s="30"/>
      <c r="JN26" s="30"/>
      <c r="JO26" s="30"/>
      <c r="JP26" s="30"/>
      <c r="JQ26" s="30"/>
      <c r="JR26" s="30"/>
      <c r="JS26" s="30"/>
      <c r="JT26" s="30"/>
      <c r="JU26" s="30"/>
      <c r="JV26" s="30"/>
      <c r="JW26" s="30"/>
      <c r="JX26" s="30"/>
      <c r="JY26" s="30"/>
      <c r="JZ26" s="30"/>
      <c r="KA26" s="30"/>
      <c r="KB26" s="30"/>
      <c r="KC26" s="30"/>
      <c r="KD26" s="30"/>
      <c r="KE26" s="30"/>
      <c r="KF26" s="30"/>
      <c r="KG26" s="30"/>
      <c r="KH26" s="30"/>
      <c r="KI26" s="30"/>
      <c r="KJ26" s="30"/>
      <c r="KK26" s="30"/>
      <c r="KL26" s="30"/>
      <c r="KM26" s="30"/>
      <c r="KN26" s="30"/>
      <c r="KO26" s="30"/>
      <c r="KP26" s="30"/>
      <c r="KQ26" s="30"/>
      <c r="KR26" s="30"/>
      <c r="KS26" s="30"/>
    </row>
    <row r="27" spans="1:305" ht="12" customHeight="1" x14ac:dyDescent="0.35">
      <c r="A27" s="14"/>
      <c r="B27" s="14"/>
      <c r="C27" s="14"/>
      <c r="D27" s="14"/>
      <c r="E27" s="14"/>
      <c r="F27" s="15"/>
      <c r="G27" s="15"/>
      <c r="H27" s="15"/>
      <c r="I27" s="15"/>
      <c r="J27" s="15"/>
      <c r="K27" s="15"/>
      <c r="L27" s="15"/>
      <c r="M27" s="14"/>
      <c r="N27" s="14"/>
      <c r="O27" s="14"/>
      <c r="P27" s="14"/>
      <c r="Q27" s="14">
        <f>1-Q26</f>
        <v>0.44610712036147615</v>
      </c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4"/>
      <c r="EJ27" s="14"/>
      <c r="EK27" s="14"/>
      <c r="EL27" s="14"/>
      <c r="EM27" s="14"/>
      <c r="EN27" s="14"/>
      <c r="EO27" s="14"/>
      <c r="EP27" s="14"/>
      <c r="EQ27" s="14"/>
      <c r="ER27" s="14"/>
      <c r="ES27" s="14"/>
      <c r="ET27" s="14"/>
      <c r="EU27" s="14"/>
      <c r="EV27" s="14"/>
      <c r="EW27" s="14"/>
      <c r="EX27" s="14"/>
      <c r="EY27" s="14"/>
      <c r="EZ27" s="14"/>
      <c r="FA27" s="14"/>
      <c r="FB27" s="14"/>
      <c r="FC27" s="14"/>
      <c r="FD27" s="14"/>
      <c r="FE27" s="14"/>
      <c r="FF27" s="14"/>
      <c r="FG27" s="14"/>
      <c r="FH27" s="14"/>
      <c r="FI27" s="14"/>
      <c r="FJ27" s="14"/>
      <c r="FK27" s="14"/>
      <c r="FL27" s="14"/>
      <c r="FM27" s="14"/>
      <c r="FN27" s="14"/>
      <c r="FO27" s="14"/>
      <c r="FP27" s="14"/>
      <c r="FQ27" s="14"/>
      <c r="FR27" s="14"/>
      <c r="FS27" s="14"/>
      <c r="FT27" s="14"/>
      <c r="FU27" s="14"/>
      <c r="FV27" s="14"/>
      <c r="FW27" s="14"/>
      <c r="FX27" s="14"/>
      <c r="FY27" s="14"/>
      <c r="FZ27" s="14"/>
      <c r="GA27" s="14"/>
      <c r="GB27" s="14"/>
      <c r="GC27" s="14"/>
      <c r="GD27" s="14"/>
      <c r="GE27" s="14"/>
      <c r="GF27" s="14"/>
      <c r="GG27" s="14"/>
      <c r="GH27" s="14"/>
      <c r="GI27" s="14"/>
      <c r="GJ27" s="14"/>
      <c r="GK27" s="14"/>
      <c r="GL27" s="14"/>
      <c r="GM27" s="14"/>
      <c r="GN27" s="14"/>
      <c r="GO27" s="14"/>
      <c r="GP27" s="14"/>
      <c r="GQ27" s="14"/>
      <c r="GR27" s="14"/>
      <c r="GS27" s="14"/>
      <c r="GT27" s="14"/>
      <c r="GU27" s="14"/>
      <c r="GV27" s="14"/>
      <c r="GW27" s="14"/>
      <c r="GX27" s="14"/>
      <c r="GY27" s="14"/>
      <c r="GZ27" s="14"/>
      <c r="HA27" s="14"/>
      <c r="HB27" s="14"/>
      <c r="HC27" s="14"/>
      <c r="HD27" s="14"/>
      <c r="HE27" s="14"/>
      <c r="HF27" s="14"/>
      <c r="HG27" s="14"/>
      <c r="HH27" s="14"/>
      <c r="HI27" s="14"/>
      <c r="HJ27" s="14"/>
      <c r="HK27" s="14"/>
      <c r="HL27" s="14"/>
      <c r="HM27" s="14"/>
      <c r="HN27" s="14"/>
      <c r="HO27" s="14"/>
      <c r="HP27" s="14"/>
      <c r="HQ27" s="14"/>
      <c r="HR27" s="14"/>
      <c r="HS27" s="14"/>
      <c r="HT27" s="14"/>
      <c r="HU27" s="14"/>
      <c r="HV27" s="14"/>
      <c r="HW27" s="14"/>
      <c r="HX27" s="14"/>
      <c r="HY27" s="14"/>
      <c r="HZ27" s="14"/>
      <c r="IA27" s="14"/>
      <c r="IB27" s="14"/>
      <c r="IC27" s="14"/>
      <c r="ID27" s="14"/>
      <c r="IE27" s="14"/>
      <c r="IF27" s="14"/>
      <c r="IG27" s="14"/>
      <c r="IH27" s="14"/>
      <c r="II27" s="14"/>
      <c r="IJ27" s="14"/>
      <c r="IK27" s="14"/>
      <c r="IL27" s="30"/>
      <c r="IM27" s="30"/>
      <c r="IN27" s="30"/>
      <c r="IO27" s="30"/>
      <c r="IP27" s="30"/>
      <c r="IQ27" s="30"/>
      <c r="IR27" s="30"/>
      <c r="IS27" s="30"/>
      <c r="IT27" s="30"/>
      <c r="IU27" s="30"/>
      <c r="IV27" s="30"/>
      <c r="IW27" s="30"/>
      <c r="IX27" s="30"/>
      <c r="IY27" s="30"/>
      <c r="IZ27" s="30"/>
      <c r="JA27" s="30"/>
      <c r="JB27" s="30"/>
      <c r="JC27" s="30"/>
      <c r="JD27" s="30"/>
      <c r="JE27" s="30"/>
      <c r="JF27" s="30"/>
      <c r="JG27" s="30"/>
      <c r="JH27" s="30"/>
      <c r="JI27" s="30"/>
      <c r="JJ27" s="30"/>
      <c r="JK27" s="30"/>
      <c r="JL27" s="30"/>
      <c r="JM27" s="30"/>
      <c r="JN27" s="30"/>
      <c r="JO27" s="30"/>
      <c r="JP27" s="30"/>
      <c r="JQ27" s="30"/>
      <c r="JR27" s="30"/>
      <c r="JS27" s="30"/>
      <c r="JT27" s="30"/>
      <c r="JU27" s="30"/>
      <c r="JV27" s="30"/>
      <c r="JW27" s="30"/>
      <c r="JX27" s="30"/>
      <c r="JY27" s="30"/>
      <c r="JZ27" s="30"/>
      <c r="KA27" s="30"/>
      <c r="KB27" s="30"/>
      <c r="KC27" s="30"/>
      <c r="KD27" s="30"/>
      <c r="KE27" s="30"/>
      <c r="KF27" s="30"/>
      <c r="KG27" s="30"/>
      <c r="KH27" s="30"/>
      <c r="KI27" s="30"/>
      <c r="KJ27" s="30"/>
      <c r="KK27" s="30"/>
      <c r="KL27" s="30"/>
      <c r="KM27" s="30"/>
      <c r="KN27" s="30"/>
      <c r="KO27" s="30"/>
      <c r="KP27" s="30"/>
      <c r="KQ27" s="30"/>
      <c r="KR27" s="30"/>
      <c r="KS27" s="30"/>
    </row>
    <row r="28" spans="1:305" ht="12" customHeight="1" x14ac:dyDescent="0.35">
      <c r="A28" s="14"/>
      <c r="B28" s="16" t="s">
        <v>25</v>
      </c>
      <c r="C28" s="17" t="s">
        <v>34</v>
      </c>
      <c r="D28" s="14"/>
      <c r="E28" s="17" t="s">
        <v>35</v>
      </c>
      <c r="F28" s="18">
        <v>0</v>
      </c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4"/>
      <c r="EJ28" s="14"/>
      <c r="EK28" s="14"/>
      <c r="EL28" s="14"/>
      <c r="EM28" s="14"/>
      <c r="EN28" s="14"/>
      <c r="EO28" s="14"/>
      <c r="EP28" s="14"/>
      <c r="EQ28" s="14"/>
      <c r="ER28" s="14"/>
      <c r="ES28" s="14"/>
      <c r="ET28" s="14"/>
      <c r="EU28" s="14"/>
      <c r="EV28" s="14"/>
      <c r="EW28" s="14"/>
      <c r="EX28" s="14"/>
      <c r="EY28" s="14"/>
      <c r="EZ28" s="14"/>
      <c r="FA28" s="14"/>
      <c r="FB28" s="14"/>
      <c r="FC28" s="14"/>
      <c r="FD28" s="14"/>
      <c r="FE28" s="14"/>
      <c r="FF28" s="14"/>
      <c r="FG28" s="14"/>
      <c r="FH28" s="14"/>
      <c r="FI28" s="14"/>
      <c r="FJ28" s="14"/>
      <c r="FK28" s="14"/>
      <c r="FL28" s="14"/>
      <c r="FM28" s="14"/>
      <c r="FN28" s="14"/>
      <c r="FO28" s="14"/>
      <c r="FP28" s="14"/>
      <c r="FQ28" s="14"/>
      <c r="FR28" s="14"/>
      <c r="FS28" s="14"/>
      <c r="FT28" s="14"/>
      <c r="FU28" s="14"/>
      <c r="FV28" s="14"/>
      <c r="FW28" s="14"/>
      <c r="FX28" s="14"/>
      <c r="FY28" s="14"/>
      <c r="FZ28" s="14"/>
      <c r="GA28" s="14"/>
      <c r="GB28" s="14"/>
      <c r="GC28" s="14"/>
      <c r="GD28" s="14"/>
      <c r="GE28" s="14"/>
      <c r="GF28" s="14"/>
      <c r="GG28" s="14"/>
      <c r="GH28" s="14"/>
      <c r="GI28" s="14"/>
      <c r="GJ28" s="14"/>
      <c r="GK28" s="14"/>
      <c r="GL28" s="14"/>
      <c r="GM28" s="14"/>
      <c r="GN28" s="14"/>
      <c r="GO28" s="14"/>
      <c r="GP28" s="14"/>
      <c r="GQ28" s="14"/>
      <c r="GR28" s="14"/>
      <c r="GS28" s="14"/>
      <c r="GT28" s="14"/>
      <c r="GU28" s="14"/>
      <c r="GV28" s="14"/>
      <c r="GW28" s="14"/>
      <c r="GX28" s="14"/>
      <c r="GY28" s="14"/>
      <c r="GZ28" s="14"/>
      <c r="HA28" s="14"/>
      <c r="HB28" s="14"/>
      <c r="HC28" s="14"/>
      <c r="HD28" s="14"/>
      <c r="HE28" s="14"/>
      <c r="HF28" s="14"/>
      <c r="HG28" s="14"/>
      <c r="HH28" s="14"/>
      <c r="HI28" s="14"/>
      <c r="HJ28" s="14"/>
      <c r="HK28" s="14"/>
      <c r="HL28" s="14"/>
      <c r="HM28" s="14"/>
      <c r="HN28" s="14"/>
      <c r="HO28" s="14"/>
      <c r="HP28" s="14"/>
      <c r="HQ28" s="14"/>
      <c r="HR28" s="14"/>
      <c r="HS28" s="14"/>
      <c r="HT28" s="14"/>
      <c r="HU28" s="14"/>
      <c r="HV28" s="14"/>
      <c r="HW28" s="14"/>
      <c r="HX28" s="14"/>
      <c r="HY28" s="14"/>
      <c r="HZ28" s="14"/>
      <c r="IA28" s="14"/>
      <c r="IB28" s="14"/>
      <c r="IC28" s="14"/>
      <c r="ID28" s="14"/>
      <c r="IE28" s="14"/>
      <c r="IF28" s="14"/>
      <c r="IG28" s="14"/>
      <c r="IH28" s="14"/>
      <c r="II28" s="14"/>
      <c r="IJ28" s="14"/>
      <c r="IK28" s="14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</row>
    <row r="29" spans="1:305" ht="12" customHeight="1" x14ac:dyDescent="0.35">
      <c r="A29" s="14"/>
      <c r="B29" s="14"/>
      <c r="C29" s="14"/>
      <c r="D29" s="14"/>
      <c r="E29" s="20" t="s">
        <v>18</v>
      </c>
      <c r="F29" s="21" t="s">
        <v>36</v>
      </c>
      <c r="G29" s="21" t="s">
        <v>37</v>
      </c>
      <c r="H29" s="21" t="s">
        <v>38</v>
      </c>
      <c r="I29" s="21" t="s">
        <v>39</v>
      </c>
      <c r="J29" s="21" t="s">
        <v>40</v>
      </c>
      <c r="K29" s="21" t="s">
        <v>41</v>
      </c>
      <c r="L29" s="21" t="s">
        <v>42</v>
      </c>
      <c r="M29" s="21" t="s">
        <v>43</v>
      </c>
      <c r="N29" s="21" t="s">
        <v>44</v>
      </c>
      <c r="O29" s="21" t="s">
        <v>45</v>
      </c>
      <c r="P29" s="21" t="s">
        <v>46</v>
      </c>
      <c r="Q29" s="21" t="s">
        <v>47</v>
      </c>
      <c r="R29" s="21" t="s">
        <v>48</v>
      </c>
      <c r="S29" s="21" t="s">
        <v>49</v>
      </c>
      <c r="T29" s="21" t="s">
        <v>50</v>
      </c>
      <c r="U29" s="21" t="s">
        <v>51</v>
      </c>
      <c r="V29" s="21" t="s">
        <v>52</v>
      </c>
      <c r="W29" s="21" t="s">
        <v>53</v>
      </c>
      <c r="X29" s="21" t="s">
        <v>54</v>
      </c>
      <c r="Y29" s="21" t="s">
        <v>55</v>
      </c>
      <c r="Z29" s="21" t="s">
        <v>56</v>
      </c>
      <c r="AA29" s="21" t="s">
        <v>57</v>
      </c>
      <c r="AB29" s="21" t="s">
        <v>58</v>
      </c>
      <c r="AC29" s="21" t="s">
        <v>59</v>
      </c>
      <c r="AD29" s="22" t="s">
        <v>60</v>
      </c>
      <c r="AE29" s="22" t="s">
        <v>61</v>
      </c>
      <c r="AF29" s="22" t="s">
        <v>62</v>
      </c>
      <c r="AG29" s="22" t="s">
        <v>63</v>
      </c>
      <c r="AH29" s="22" t="s">
        <v>64</v>
      </c>
      <c r="AI29" s="22" t="s">
        <v>65</v>
      </c>
      <c r="AJ29" s="22" t="s">
        <v>66</v>
      </c>
      <c r="AK29" s="22" t="s">
        <v>67</v>
      </c>
      <c r="AL29" s="22" t="s">
        <v>68</v>
      </c>
      <c r="AM29" s="22" t="s">
        <v>69</v>
      </c>
      <c r="AN29" s="22" t="s">
        <v>70</v>
      </c>
      <c r="AO29" s="22" t="s">
        <v>71</v>
      </c>
      <c r="AP29" s="22" t="s">
        <v>72</v>
      </c>
      <c r="AQ29" s="22" t="s">
        <v>73</v>
      </c>
      <c r="AR29" s="22" t="s">
        <v>74</v>
      </c>
      <c r="AS29" s="22" t="s">
        <v>75</v>
      </c>
      <c r="AT29" s="22" t="s">
        <v>76</v>
      </c>
      <c r="AU29" s="22" t="s">
        <v>77</v>
      </c>
      <c r="AV29" s="22" t="s">
        <v>78</v>
      </c>
      <c r="AW29" s="22" t="s">
        <v>79</v>
      </c>
      <c r="AX29" s="22" t="s">
        <v>80</v>
      </c>
      <c r="AY29" s="22" t="s">
        <v>81</v>
      </c>
      <c r="AZ29" s="22" t="s">
        <v>82</v>
      </c>
      <c r="BA29" s="22" t="s">
        <v>83</v>
      </c>
      <c r="BB29" s="22" t="s">
        <v>84</v>
      </c>
      <c r="BC29" s="22" t="s">
        <v>85</v>
      </c>
      <c r="BD29" s="22" t="s">
        <v>86</v>
      </c>
      <c r="BE29" s="22" t="s">
        <v>87</v>
      </c>
      <c r="BF29" s="22" t="s">
        <v>88</v>
      </c>
      <c r="BG29" s="22" t="s">
        <v>89</v>
      </c>
      <c r="BH29" s="22" t="s">
        <v>90</v>
      </c>
      <c r="BI29" s="22" t="s">
        <v>91</v>
      </c>
      <c r="BJ29" s="22" t="s">
        <v>92</v>
      </c>
      <c r="BK29" s="22" t="s">
        <v>93</v>
      </c>
      <c r="BL29" s="22" t="s">
        <v>94</v>
      </c>
      <c r="BM29" s="22" t="s">
        <v>95</v>
      </c>
      <c r="BN29" s="22" t="s">
        <v>96</v>
      </c>
      <c r="BO29" s="22" t="s">
        <v>97</v>
      </c>
      <c r="BP29" s="22" t="s">
        <v>98</v>
      </c>
      <c r="BQ29" s="22" t="s">
        <v>99</v>
      </c>
      <c r="BR29" s="22" t="s">
        <v>100</v>
      </c>
      <c r="BS29" s="22" t="s">
        <v>101</v>
      </c>
      <c r="BT29" s="22" t="s">
        <v>102</v>
      </c>
      <c r="BU29" s="22" t="s">
        <v>103</v>
      </c>
      <c r="BV29" s="22" t="s">
        <v>104</v>
      </c>
      <c r="BW29" s="22" t="s">
        <v>105</v>
      </c>
      <c r="BX29" s="22" t="s">
        <v>106</v>
      </c>
      <c r="BY29" s="22" t="s">
        <v>107</v>
      </c>
      <c r="BZ29" s="22" t="s">
        <v>108</v>
      </c>
      <c r="CA29" s="22" t="s">
        <v>109</v>
      </c>
      <c r="CB29" s="22" t="s">
        <v>110</v>
      </c>
      <c r="CC29" s="22" t="s">
        <v>111</v>
      </c>
      <c r="CD29" s="22" t="s">
        <v>112</v>
      </c>
      <c r="CE29" s="22" t="s">
        <v>113</v>
      </c>
      <c r="CF29" s="22" t="s">
        <v>114</v>
      </c>
      <c r="CG29" s="22" t="s">
        <v>115</v>
      </c>
      <c r="CH29" s="22" t="s">
        <v>116</v>
      </c>
      <c r="CI29" s="22" t="s">
        <v>117</v>
      </c>
      <c r="CJ29" s="22" t="s">
        <v>118</v>
      </c>
      <c r="CK29" s="22" t="s">
        <v>119</v>
      </c>
      <c r="CL29" s="22" t="s">
        <v>120</v>
      </c>
      <c r="CM29" s="22" t="s">
        <v>121</v>
      </c>
      <c r="CN29" s="22" t="s">
        <v>122</v>
      </c>
      <c r="CO29" s="22" t="s">
        <v>123</v>
      </c>
      <c r="CP29" s="22" t="s">
        <v>124</v>
      </c>
      <c r="CQ29" s="22" t="s">
        <v>125</v>
      </c>
      <c r="CR29" s="22" t="s">
        <v>126</v>
      </c>
      <c r="CS29" s="22" t="s">
        <v>127</v>
      </c>
      <c r="CT29" s="22" t="s">
        <v>128</v>
      </c>
      <c r="CU29" s="22" t="s">
        <v>129</v>
      </c>
      <c r="CV29" s="22" t="s">
        <v>130</v>
      </c>
      <c r="CW29" s="22" t="s">
        <v>131</v>
      </c>
      <c r="CX29" s="22" t="s">
        <v>132</v>
      </c>
      <c r="CY29" s="22" t="s">
        <v>133</v>
      </c>
      <c r="CZ29" s="22" t="s">
        <v>134</v>
      </c>
      <c r="DA29" s="22" t="s">
        <v>135</v>
      </c>
      <c r="DB29" s="22" t="s">
        <v>136</v>
      </c>
      <c r="DC29" s="22" t="s">
        <v>137</v>
      </c>
      <c r="DD29" s="22" t="s">
        <v>138</v>
      </c>
      <c r="DE29" s="22" t="s">
        <v>139</v>
      </c>
      <c r="DF29" s="22" t="s">
        <v>140</v>
      </c>
      <c r="DG29" s="22" t="s">
        <v>141</v>
      </c>
      <c r="DH29" s="22" t="s">
        <v>142</v>
      </c>
      <c r="DI29" s="22" t="s">
        <v>143</v>
      </c>
      <c r="DJ29" s="22" t="s">
        <v>144</v>
      </c>
      <c r="DK29" s="22" t="s">
        <v>145</v>
      </c>
      <c r="DL29" s="22" t="s">
        <v>146</v>
      </c>
      <c r="DM29" s="22" t="s">
        <v>147</v>
      </c>
      <c r="DN29" s="22" t="s">
        <v>148</v>
      </c>
      <c r="DO29" s="22" t="s">
        <v>149</v>
      </c>
      <c r="DP29" s="22" t="s">
        <v>150</v>
      </c>
      <c r="DQ29" s="22" t="s">
        <v>151</v>
      </c>
      <c r="DR29" s="22" t="s">
        <v>152</v>
      </c>
      <c r="DS29" s="22" t="s">
        <v>153</v>
      </c>
      <c r="DT29" s="22" t="s">
        <v>154</v>
      </c>
      <c r="DU29" s="22" t="s">
        <v>155</v>
      </c>
      <c r="DV29" s="22" t="s">
        <v>156</v>
      </c>
      <c r="DW29" s="22" t="s">
        <v>157</v>
      </c>
      <c r="DX29" s="22" t="s">
        <v>158</v>
      </c>
      <c r="DY29" s="22" t="s">
        <v>159</v>
      </c>
      <c r="DZ29" s="22" t="s">
        <v>160</v>
      </c>
      <c r="EA29" s="22" t="s">
        <v>161</v>
      </c>
      <c r="EB29" s="22" t="s">
        <v>162</v>
      </c>
      <c r="EC29" s="22" t="s">
        <v>163</v>
      </c>
      <c r="ED29" s="22" t="s">
        <v>164</v>
      </c>
      <c r="EE29" s="22" t="s">
        <v>165</v>
      </c>
      <c r="EF29" s="22" t="s">
        <v>166</v>
      </c>
      <c r="EG29" s="22" t="s">
        <v>167</v>
      </c>
      <c r="EH29" s="22" t="s">
        <v>168</v>
      </c>
      <c r="EI29" s="22" t="s">
        <v>169</v>
      </c>
      <c r="EJ29" s="22" t="s">
        <v>170</v>
      </c>
      <c r="EK29" s="22" t="s">
        <v>171</v>
      </c>
      <c r="EL29" s="22" t="s">
        <v>172</v>
      </c>
      <c r="EM29" s="22" t="s">
        <v>173</v>
      </c>
      <c r="EN29" s="22" t="s">
        <v>174</v>
      </c>
      <c r="EO29" s="22" t="s">
        <v>175</v>
      </c>
      <c r="EP29" s="22" t="s">
        <v>176</v>
      </c>
      <c r="EQ29" s="22" t="s">
        <v>177</v>
      </c>
      <c r="ER29" s="22" t="s">
        <v>178</v>
      </c>
      <c r="ES29" s="22" t="s">
        <v>179</v>
      </c>
      <c r="ET29" s="22" t="s">
        <v>180</v>
      </c>
      <c r="EU29" s="22" t="s">
        <v>181</v>
      </c>
      <c r="EV29" s="22" t="s">
        <v>182</v>
      </c>
      <c r="EW29" s="22" t="s">
        <v>183</v>
      </c>
      <c r="EX29" s="22" t="s">
        <v>184</v>
      </c>
      <c r="EY29" s="22" t="s">
        <v>185</v>
      </c>
      <c r="EZ29" s="22" t="s">
        <v>186</v>
      </c>
      <c r="FA29" s="22" t="s">
        <v>187</v>
      </c>
      <c r="FB29" s="22" t="s">
        <v>188</v>
      </c>
      <c r="FC29" s="22" t="s">
        <v>189</v>
      </c>
      <c r="FD29" s="22" t="s">
        <v>190</v>
      </c>
      <c r="FE29" s="22" t="s">
        <v>191</v>
      </c>
      <c r="FF29" s="23" t="s">
        <v>192</v>
      </c>
      <c r="FG29" s="23" t="s">
        <v>193</v>
      </c>
      <c r="FH29" s="23" t="s">
        <v>194</v>
      </c>
      <c r="FI29" s="23" t="s">
        <v>195</v>
      </c>
      <c r="FJ29" s="23" t="s">
        <v>196</v>
      </c>
      <c r="FK29" s="23" t="s">
        <v>197</v>
      </c>
      <c r="FL29" s="23" t="s">
        <v>198</v>
      </c>
      <c r="FM29" s="23" t="s">
        <v>199</v>
      </c>
      <c r="FN29" s="23" t="s">
        <v>200</v>
      </c>
      <c r="FO29" s="23" t="s">
        <v>201</v>
      </c>
      <c r="FP29" s="23" t="s">
        <v>202</v>
      </c>
      <c r="FQ29" s="23" t="s">
        <v>203</v>
      </c>
      <c r="FR29" s="23" t="s">
        <v>204</v>
      </c>
      <c r="FS29" s="23" t="s">
        <v>205</v>
      </c>
      <c r="FT29" s="23" t="s">
        <v>206</v>
      </c>
      <c r="FU29" s="23" t="s">
        <v>207</v>
      </c>
      <c r="FV29" s="23" t="s">
        <v>208</v>
      </c>
      <c r="FW29" s="23" t="s">
        <v>209</v>
      </c>
      <c r="FX29" s="23" t="s">
        <v>210</v>
      </c>
      <c r="FY29" s="23" t="s">
        <v>211</v>
      </c>
      <c r="FZ29" s="23" t="s">
        <v>212</v>
      </c>
      <c r="GA29" s="23" t="s">
        <v>213</v>
      </c>
      <c r="GB29" s="23" t="s">
        <v>214</v>
      </c>
      <c r="GC29" s="23" t="s">
        <v>215</v>
      </c>
      <c r="GD29" s="23" t="s">
        <v>216</v>
      </c>
      <c r="GE29" s="23" t="s">
        <v>217</v>
      </c>
      <c r="GF29" s="23" t="s">
        <v>218</v>
      </c>
      <c r="GG29" s="23" t="s">
        <v>219</v>
      </c>
      <c r="GH29" s="23" t="s">
        <v>220</v>
      </c>
      <c r="GI29" s="23" t="s">
        <v>221</v>
      </c>
      <c r="GJ29" s="23" t="s">
        <v>222</v>
      </c>
      <c r="GK29" s="23" t="s">
        <v>223</v>
      </c>
      <c r="GL29" s="23" t="s">
        <v>224</v>
      </c>
      <c r="GM29" s="23" t="s">
        <v>225</v>
      </c>
      <c r="GN29" s="23" t="s">
        <v>226</v>
      </c>
      <c r="GO29" s="23" t="s">
        <v>227</v>
      </c>
      <c r="GP29" s="23" t="s">
        <v>228</v>
      </c>
      <c r="GQ29" s="23" t="s">
        <v>229</v>
      </c>
      <c r="GR29" s="23" t="s">
        <v>230</v>
      </c>
      <c r="GS29" s="23" t="s">
        <v>231</v>
      </c>
      <c r="GT29" s="23" t="s">
        <v>232</v>
      </c>
      <c r="GU29" s="23" t="s">
        <v>233</v>
      </c>
      <c r="GV29" s="23" t="s">
        <v>234</v>
      </c>
      <c r="GW29" s="23" t="s">
        <v>235</v>
      </c>
      <c r="GX29" s="23" t="s">
        <v>236</v>
      </c>
      <c r="GY29" s="23" t="s">
        <v>237</v>
      </c>
      <c r="GZ29" s="23" t="s">
        <v>238</v>
      </c>
      <c r="HA29" s="23" t="s">
        <v>239</v>
      </c>
      <c r="HB29" s="23" t="s">
        <v>240</v>
      </c>
      <c r="HC29" s="23" t="s">
        <v>241</v>
      </c>
      <c r="HD29" s="23" t="s">
        <v>242</v>
      </c>
      <c r="HE29" s="23" t="s">
        <v>243</v>
      </c>
      <c r="HF29" s="23" t="s">
        <v>244</v>
      </c>
      <c r="HG29" s="23" t="s">
        <v>245</v>
      </c>
      <c r="HH29" s="23" t="s">
        <v>246</v>
      </c>
      <c r="HI29" s="23" t="s">
        <v>247</v>
      </c>
      <c r="HJ29" s="23" t="s">
        <v>248</v>
      </c>
      <c r="HK29" s="23" t="s">
        <v>249</v>
      </c>
      <c r="HL29" s="23" t="s">
        <v>250</v>
      </c>
      <c r="HM29" s="23" t="s">
        <v>251</v>
      </c>
      <c r="HN29" s="23" t="s">
        <v>252</v>
      </c>
      <c r="HO29" s="23" t="s">
        <v>253</v>
      </c>
      <c r="HP29" s="23" t="s">
        <v>254</v>
      </c>
      <c r="HQ29" s="23" t="s">
        <v>255</v>
      </c>
      <c r="HR29" s="23" t="s">
        <v>256</v>
      </c>
      <c r="HS29" s="23" t="s">
        <v>257</v>
      </c>
      <c r="HT29" s="23" t="s">
        <v>258</v>
      </c>
      <c r="HU29" s="23" t="s">
        <v>259</v>
      </c>
      <c r="HV29" s="23" t="s">
        <v>260</v>
      </c>
      <c r="HW29" s="23" t="s">
        <v>261</v>
      </c>
      <c r="HX29" s="23" t="s">
        <v>262</v>
      </c>
      <c r="HY29" s="23" t="s">
        <v>263</v>
      </c>
      <c r="HZ29" s="23" t="s">
        <v>264</v>
      </c>
      <c r="IA29" s="23" t="s">
        <v>265</v>
      </c>
      <c r="IB29" s="23" t="s">
        <v>266</v>
      </c>
      <c r="IC29" s="23" t="s">
        <v>267</v>
      </c>
      <c r="ID29" s="23" t="s">
        <v>268</v>
      </c>
      <c r="IE29" s="23" t="s">
        <v>269</v>
      </c>
      <c r="IF29" s="23" t="s">
        <v>270</v>
      </c>
      <c r="IG29" s="23" t="s">
        <v>271</v>
      </c>
      <c r="IH29" s="23" t="s">
        <v>272</v>
      </c>
      <c r="II29" s="23" t="s">
        <v>273</v>
      </c>
      <c r="IJ29" s="23" t="s">
        <v>274</v>
      </c>
      <c r="IK29" s="23" t="s">
        <v>275</v>
      </c>
      <c r="IL29" s="27"/>
      <c r="IM29" s="27"/>
      <c r="IN29" s="27"/>
      <c r="IO29" s="27"/>
      <c r="IP29" s="27"/>
      <c r="IQ29" s="27"/>
      <c r="IR29" s="27"/>
      <c r="IS29" s="27"/>
      <c r="IT29" s="27"/>
      <c r="IU29" s="27"/>
      <c r="IV29" s="27"/>
      <c r="IW29" s="27"/>
      <c r="IX29" s="27"/>
      <c r="IY29" s="27"/>
      <c r="IZ29" s="27"/>
      <c r="JA29" s="27"/>
      <c r="JB29" s="27"/>
      <c r="JC29" s="27"/>
      <c r="JD29" s="27"/>
      <c r="JE29" s="27"/>
      <c r="JF29" s="27"/>
      <c r="JG29" s="27"/>
      <c r="JH29" s="27"/>
      <c r="JI29" s="27"/>
      <c r="JJ29" s="27"/>
      <c r="JK29" s="27"/>
      <c r="JL29" s="27"/>
      <c r="JM29" s="27"/>
      <c r="JN29" s="27"/>
      <c r="JO29" s="27"/>
      <c r="JP29" s="27"/>
      <c r="JQ29" s="27"/>
      <c r="JR29" s="27"/>
      <c r="JS29" s="27"/>
      <c r="JT29" s="27"/>
      <c r="JU29" s="27"/>
      <c r="JV29" s="27"/>
      <c r="JW29" s="27"/>
      <c r="JX29" s="27"/>
      <c r="JY29" s="27"/>
      <c r="JZ29" s="27"/>
      <c r="KA29" s="27"/>
      <c r="KB29" s="27"/>
      <c r="KC29" s="27"/>
      <c r="KD29" s="27"/>
      <c r="KE29" s="27"/>
      <c r="KF29" s="27"/>
      <c r="KG29" s="27"/>
      <c r="KH29" s="27"/>
      <c r="KI29" s="27"/>
      <c r="KJ29" s="27"/>
      <c r="KK29" s="27"/>
      <c r="KL29" s="27"/>
      <c r="KM29" s="27"/>
      <c r="KN29" s="27"/>
      <c r="KO29" s="27"/>
      <c r="KP29" s="27"/>
      <c r="KQ29" s="27"/>
      <c r="KR29" s="27"/>
      <c r="KS29" s="27"/>
    </row>
    <row r="30" spans="1:305" ht="12" customHeight="1" x14ac:dyDescent="0.35">
      <c r="A30" s="14"/>
      <c r="B30" s="14"/>
      <c r="C30" s="14"/>
      <c r="D30" s="14"/>
      <c r="E30" s="14"/>
      <c r="F30" s="24">
        <v>1</v>
      </c>
      <c r="G30" s="25">
        <v>0.94770519696127797</v>
      </c>
      <c r="H30" s="25">
        <v>0.89541039392255595</v>
      </c>
      <c r="I30" s="25">
        <v>0.84311559088383392</v>
      </c>
      <c r="J30" s="25">
        <v>0.79082078784511189</v>
      </c>
      <c r="K30" s="25">
        <v>0.73852598480638987</v>
      </c>
      <c r="L30" s="25">
        <v>0.68623118176766784</v>
      </c>
      <c r="M30" s="25">
        <v>0.63393637872894582</v>
      </c>
      <c r="N30" s="25">
        <v>0.58164157569022379</v>
      </c>
      <c r="O30" s="25">
        <v>0.52934677265150176</v>
      </c>
      <c r="P30" s="25">
        <v>0.47705196961277974</v>
      </c>
      <c r="Q30" s="25">
        <v>0.42475716657405771</v>
      </c>
      <c r="R30" s="25">
        <v>0.40439562357255471</v>
      </c>
      <c r="S30" s="25">
        <v>0.38403408057105171</v>
      </c>
      <c r="T30" s="25">
        <v>0.3636725375695487</v>
      </c>
      <c r="U30" s="25">
        <v>0.3433109945680457</v>
      </c>
      <c r="V30" s="25">
        <v>0.3229494515665427</v>
      </c>
      <c r="W30" s="25">
        <v>0.3025879085650397</v>
      </c>
      <c r="X30" s="25">
        <v>0.2822263655635367</v>
      </c>
      <c r="Y30" s="25">
        <v>0.26186482256203369</v>
      </c>
      <c r="Z30" s="25">
        <v>0.24150327956053069</v>
      </c>
      <c r="AA30" s="25">
        <v>0.22114173655902769</v>
      </c>
      <c r="AB30" s="25">
        <v>0.20078019355752469</v>
      </c>
      <c r="AC30" s="25">
        <v>0.18041865055602169</v>
      </c>
      <c r="AD30" s="25">
        <v>0.17176993924362743</v>
      </c>
      <c r="AE30" s="25">
        <v>0.16312122793123318</v>
      </c>
      <c r="AF30" s="25">
        <v>0.15447251661883893</v>
      </c>
      <c r="AG30" s="25">
        <v>0.14582380530644468</v>
      </c>
      <c r="AH30" s="25">
        <v>0.13717509399405042</v>
      </c>
      <c r="AI30" s="25">
        <v>0.12852638268165617</v>
      </c>
      <c r="AJ30" s="25">
        <v>0.11987767136926193</v>
      </c>
      <c r="AK30" s="25">
        <v>0.11122896005686769</v>
      </c>
      <c r="AL30" s="25">
        <v>0.10258024874447345</v>
      </c>
      <c r="AM30" s="25">
        <v>9.3931537432079215E-2</v>
      </c>
      <c r="AN30" s="25">
        <v>8.5282826119684976E-2</v>
      </c>
      <c r="AO30" s="25">
        <v>7.6634114807290737E-2</v>
      </c>
      <c r="AP30" s="25">
        <v>7.2960512695721166E-2</v>
      </c>
      <c r="AQ30" s="25">
        <v>6.9286910584151595E-2</v>
      </c>
      <c r="AR30" s="25">
        <v>6.5613308472582024E-2</v>
      </c>
      <c r="AS30" s="25">
        <v>6.1939706361012446E-2</v>
      </c>
      <c r="AT30" s="25">
        <v>5.8266104249442868E-2</v>
      </c>
      <c r="AU30" s="25">
        <v>5.459250213787329E-2</v>
      </c>
      <c r="AV30" s="25">
        <v>5.0918900026303712E-2</v>
      </c>
      <c r="AW30" s="25">
        <v>4.7245297914734134E-2</v>
      </c>
      <c r="AX30" s="25">
        <v>4.3571695803164556E-2</v>
      </c>
      <c r="AY30" s="25">
        <v>3.9898093691594978E-2</v>
      </c>
      <c r="AZ30" s="25">
        <v>3.62244915800254E-2</v>
      </c>
      <c r="BA30" s="25">
        <v>3.2550889468455822E-2</v>
      </c>
      <c r="BB30" s="25">
        <v>3.0990500644425056E-2</v>
      </c>
      <c r="BC30" s="25">
        <v>2.9430111820394289E-2</v>
      </c>
      <c r="BD30" s="25">
        <v>2.7869722996363522E-2</v>
      </c>
      <c r="BE30" s="25">
        <v>2.6309334172332756E-2</v>
      </c>
      <c r="BF30" s="25">
        <v>2.4748945348301989E-2</v>
      </c>
      <c r="BG30" s="25">
        <v>2.3188556524271223E-2</v>
      </c>
      <c r="BH30" s="25">
        <v>2.1628167700240456E-2</v>
      </c>
      <c r="BI30" s="25">
        <v>2.006777887620969E-2</v>
      </c>
      <c r="BJ30" s="25">
        <v>1.8507390052178923E-2</v>
      </c>
      <c r="BK30" s="25">
        <v>1.6947001228148156E-2</v>
      </c>
      <c r="BL30" s="25">
        <v>1.538661240411739E-2</v>
      </c>
      <c r="BM30" s="25">
        <v>1.3826223580086623E-2</v>
      </c>
      <c r="BN30" s="25">
        <v>1.3163437244437489E-2</v>
      </c>
      <c r="BO30" s="25">
        <v>1.2500650908788356E-2</v>
      </c>
      <c r="BP30" s="25">
        <v>1.1837864573139222E-2</v>
      </c>
      <c r="BQ30" s="25">
        <v>1.1175078237490088E-2</v>
      </c>
      <c r="BR30" s="25">
        <v>1.0512291901840954E-2</v>
      </c>
      <c r="BS30" s="25">
        <v>9.8495055661918206E-3</v>
      </c>
      <c r="BT30" s="25">
        <v>9.1867192305426868E-3</v>
      </c>
      <c r="BU30" s="25">
        <v>8.523932894893553E-3</v>
      </c>
      <c r="BV30" s="25">
        <v>7.8611465592444193E-3</v>
      </c>
      <c r="BW30" s="25">
        <v>7.1983602235952855E-3</v>
      </c>
      <c r="BX30" s="25">
        <v>6.5355738879461518E-3</v>
      </c>
      <c r="BY30" s="25">
        <v>5.872787552297018E-3</v>
      </c>
      <c r="BZ30" s="25">
        <v>5.5912643063226897E-3</v>
      </c>
      <c r="CA30" s="25">
        <v>5.3097410603483615E-3</v>
      </c>
      <c r="CB30" s="25">
        <v>5.0282178143740332E-3</v>
      </c>
      <c r="CC30" s="25">
        <v>4.746694568399705E-3</v>
      </c>
      <c r="CD30" s="25">
        <v>4.4651713224253767E-3</v>
      </c>
      <c r="CE30" s="25">
        <v>4.1836480764510485E-3</v>
      </c>
      <c r="CF30" s="25">
        <v>3.9021248304767202E-3</v>
      </c>
      <c r="CG30" s="25">
        <v>3.620601584502392E-3</v>
      </c>
      <c r="CH30" s="25">
        <v>3.3390783385280638E-3</v>
      </c>
      <c r="CI30" s="25">
        <v>3.0575550925537355E-3</v>
      </c>
      <c r="CJ30" s="25">
        <v>2.7760318465794073E-3</v>
      </c>
      <c r="CK30" s="25">
        <v>2.494508600605079E-3</v>
      </c>
      <c r="CL30" s="28">
        <v>2.3749295843202918E-3</v>
      </c>
      <c r="CM30" s="28">
        <v>2.2553505680355046E-3</v>
      </c>
      <c r="CN30" s="28">
        <v>2.1357715517507174E-3</v>
      </c>
      <c r="CO30" s="28">
        <v>2.0161925354659303E-3</v>
      </c>
      <c r="CP30" s="28">
        <v>1.8966135191811431E-3</v>
      </c>
      <c r="CQ30" s="28">
        <v>1.7770345028963559E-3</v>
      </c>
      <c r="CR30" s="28">
        <v>1.6574554866115687E-3</v>
      </c>
      <c r="CS30" s="28">
        <v>1.5378764703267815E-3</v>
      </c>
      <c r="CT30" s="28">
        <v>1.4182974540419943E-3</v>
      </c>
      <c r="CU30" s="28">
        <v>1.2987184377572071E-3</v>
      </c>
      <c r="CV30" s="28">
        <v>1.17913942147242E-3</v>
      </c>
      <c r="CW30" s="28">
        <v>1.0595604051876328E-3</v>
      </c>
      <c r="CX30" s="28">
        <v>1.0087683610487935E-3</v>
      </c>
      <c r="CY30" s="28">
        <v>9.5797631690995426E-4</v>
      </c>
      <c r="CZ30" s="28">
        <v>9.0718427277111506E-4</v>
      </c>
      <c r="DA30" s="28">
        <v>8.5639222863227585E-4</v>
      </c>
      <c r="DB30" s="28">
        <v>8.0560018449343665E-4</v>
      </c>
      <c r="DC30" s="28">
        <v>7.5480814035459745E-4</v>
      </c>
      <c r="DD30" s="28">
        <v>7.0401609621575825E-4</v>
      </c>
      <c r="DE30" s="28">
        <v>6.5322405207691905E-4</v>
      </c>
      <c r="DF30" s="28">
        <v>6.0243200793807985E-4</v>
      </c>
      <c r="DG30" s="28">
        <v>5.5163996379924065E-4</v>
      </c>
      <c r="DH30" s="28">
        <v>5.0084791966040145E-4</v>
      </c>
      <c r="DI30" s="28">
        <v>4.5005587552156219E-4</v>
      </c>
      <c r="DJ30" s="28">
        <v>4.2848159076864438E-4</v>
      </c>
      <c r="DK30" s="28">
        <v>4.0690730601572657E-4</v>
      </c>
      <c r="DL30" s="28">
        <v>3.8533302126280875E-4</v>
      </c>
      <c r="DM30" s="28">
        <v>3.6375873650989094E-4</v>
      </c>
      <c r="DN30" s="28">
        <v>3.4218445175697313E-4</v>
      </c>
      <c r="DO30" s="28">
        <v>3.2061016700405531E-4</v>
      </c>
      <c r="DP30" s="28">
        <v>2.990358822511375E-4</v>
      </c>
      <c r="DQ30" s="28">
        <v>2.7746159749821969E-4</v>
      </c>
      <c r="DR30" s="28">
        <v>2.5588731274530188E-4</v>
      </c>
      <c r="DS30" s="28">
        <v>2.3431302799238406E-4</v>
      </c>
      <c r="DT30" s="28">
        <v>2.1273874323946625E-4</v>
      </c>
      <c r="DU30" s="28">
        <v>1.9116445848654844E-4</v>
      </c>
      <c r="DV30" s="28">
        <v>1.8200062642403719E-4</v>
      </c>
      <c r="DW30" s="28">
        <v>1.7283679436152594E-4</v>
      </c>
      <c r="DX30" s="28">
        <v>1.6367296229901468E-4</v>
      </c>
      <c r="DY30" s="28">
        <v>1.5450913023650343E-4</v>
      </c>
      <c r="DZ30" s="28">
        <v>1.4534529817399218E-4</v>
      </c>
      <c r="EA30" s="28">
        <v>1.3618146611148093E-4</v>
      </c>
      <c r="EB30" s="28">
        <v>1.2701763404896968E-4</v>
      </c>
      <c r="EC30" s="28">
        <v>1.1785380198645843E-4</v>
      </c>
      <c r="ED30" s="28">
        <v>1.0868996992394718E-4</v>
      </c>
      <c r="EE30" s="28">
        <v>9.9526137861435926E-5</v>
      </c>
      <c r="EF30" s="28">
        <v>9.0362305798924675E-5</v>
      </c>
      <c r="EG30" s="28">
        <v>8.1198473736413424E-5</v>
      </c>
      <c r="EH30" s="28">
        <v>7.7306070394580635E-5</v>
      </c>
      <c r="EI30" s="28">
        <v>7.3413667052747846E-5</v>
      </c>
      <c r="EJ30" s="28">
        <v>6.9521263710915058E-5</v>
      </c>
      <c r="EK30" s="28">
        <v>6.5628860369082269E-5</v>
      </c>
      <c r="EL30" s="28">
        <v>6.173645702724948E-5</v>
      </c>
      <c r="EM30" s="28">
        <v>5.7844053685416698E-5</v>
      </c>
      <c r="EN30" s="28">
        <v>5.3951650343583916E-5</v>
      </c>
      <c r="EO30" s="28">
        <v>5.0059247001751134E-5</v>
      </c>
      <c r="EP30" s="28">
        <v>4.6166843659918352E-5</v>
      </c>
      <c r="EQ30" s="28">
        <v>4.227444031808557E-5</v>
      </c>
      <c r="ER30" s="28">
        <v>3.8382036976252788E-5</v>
      </c>
      <c r="ES30" s="28">
        <v>3.4489633634420006E-5</v>
      </c>
      <c r="ET30" s="28">
        <v>3.2836307419779718E-5</v>
      </c>
      <c r="EU30" s="28">
        <v>3.1182981205139437E-5</v>
      </c>
      <c r="EV30" s="28">
        <v>2.9529654990499153E-5</v>
      </c>
      <c r="EW30" s="28">
        <v>2.7876328775858869E-5</v>
      </c>
      <c r="EX30" s="28">
        <v>2.6223002561218584E-5</v>
      </c>
      <c r="EY30" s="28">
        <v>2.45696763465783E-5</v>
      </c>
      <c r="EZ30" s="28">
        <v>2.2916350131938015E-5</v>
      </c>
      <c r="FA30" s="28">
        <v>2.1263023917297731E-5</v>
      </c>
      <c r="FB30" s="28">
        <v>1.9609697702657447E-5</v>
      </c>
      <c r="FC30" s="28">
        <v>1.7956371488017162E-5</v>
      </c>
      <c r="FD30" s="28">
        <v>1.6303045273376878E-5</v>
      </c>
      <c r="FE30" s="28">
        <v>1.4649719058736593E-5</v>
      </c>
      <c r="FF30" s="28">
        <v>1.3947456900383375E-5</v>
      </c>
      <c r="FG30" s="28">
        <v>1.3245194742030156E-5</v>
      </c>
      <c r="FH30" s="28">
        <v>1.2542932583676937E-5</v>
      </c>
      <c r="FI30" s="28">
        <v>1.1840670425323718E-5</v>
      </c>
      <c r="FJ30" s="28">
        <v>1.1138408266970499E-5</v>
      </c>
      <c r="FK30" s="28">
        <v>1.043614610861728E-5</v>
      </c>
      <c r="FL30" s="28">
        <v>9.7338839502640614E-6</v>
      </c>
      <c r="FM30" s="28">
        <v>9.0316217919108425E-6</v>
      </c>
      <c r="FN30" s="28">
        <v>8.3293596335576236E-6</v>
      </c>
      <c r="FO30" s="28">
        <v>7.6270974752044048E-6</v>
      </c>
      <c r="FP30" s="28">
        <v>6.9248353168511859E-6</v>
      </c>
      <c r="FQ30" s="28">
        <v>6.222573158497967E-6</v>
      </c>
      <c r="FR30" s="28">
        <v>5.9242822739236714E-6</v>
      </c>
      <c r="FS30" s="28">
        <v>5.6259913893493757E-6</v>
      </c>
      <c r="FT30" s="28">
        <v>5.32770050477508E-6</v>
      </c>
      <c r="FU30" s="28">
        <v>5.0294096202007843E-6</v>
      </c>
      <c r="FV30" s="28">
        <v>4.7311187356264886E-6</v>
      </c>
      <c r="FW30" s="28">
        <v>4.432827851052193E-6</v>
      </c>
      <c r="FX30" s="28">
        <v>4.1345369664778973E-6</v>
      </c>
      <c r="FY30" s="28">
        <v>3.8362460819036016E-6</v>
      </c>
      <c r="FZ30" s="28">
        <v>3.5379551973293063E-6</v>
      </c>
      <c r="GA30" s="28">
        <v>3.2396643127550111E-6</v>
      </c>
      <c r="GB30" s="28">
        <v>2.9413734281807158E-6</v>
      </c>
      <c r="GC30" s="28">
        <v>2.6430825436064206E-6</v>
      </c>
      <c r="GD30" s="28">
        <v>2.5993516240128096E-6</v>
      </c>
      <c r="GE30" s="28">
        <v>2.5556207044191986E-6</v>
      </c>
      <c r="GF30" s="28">
        <v>2.5118897848255876E-6</v>
      </c>
      <c r="GG30" s="28">
        <v>2.4681588652319766E-6</v>
      </c>
      <c r="GH30" s="28">
        <v>2.4244279456383656E-6</v>
      </c>
      <c r="GI30" s="28">
        <v>2.3806970260447546E-6</v>
      </c>
      <c r="GJ30" s="28">
        <v>2.3369661064511436E-6</v>
      </c>
      <c r="GK30" s="28">
        <v>2.2932351868575326E-6</v>
      </c>
      <c r="GL30" s="28">
        <v>2.2495042672639216E-6</v>
      </c>
      <c r="GM30" s="28">
        <v>2.2057733476703106E-6</v>
      </c>
      <c r="GN30" s="28">
        <v>2.1620424280766996E-6</v>
      </c>
      <c r="GO30" s="28">
        <v>2.1183115084830887E-6</v>
      </c>
      <c r="GP30" s="28">
        <v>2.0745805888894777E-6</v>
      </c>
      <c r="GQ30" s="28">
        <v>2.0308496692958667E-6</v>
      </c>
      <c r="GR30" s="28">
        <v>1.9871187497022557E-6</v>
      </c>
      <c r="GS30" s="28">
        <v>1.9433878301086447E-6</v>
      </c>
      <c r="GT30" s="28">
        <v>1.8996569105150337E-6</v>
      </c>
      <c r="GU30" s="28">
        <v>1.8559259909214227E-6</v>
      </c>
      <c r="GV30" s="28">
        <v>1.8121950713278117E-6</v>
      </c>
      <c r="GW30" s="28">
        <v>1.7684641517342007E-6</v>
      </c>
      <c r="GX30" s="28">
        <v>1.7247332321405897E-6</v>
      </c>
      <c r="GY30" s="28">
        <v>1.6810023125469787E-6</v>
      </c>
      <c r="GZ30" s="28">
        <v>1.6372713929533677E-6</v>
      </c>
      <c r="HA30" s="28">
        <v>1.5935404733597567E-6</v>
      </c>
      <c r="HB30" s="28">
        <v>1.5498095537661457E-6</v>
      </c>
      <c r="HC30" s="28">
        <v>1.5060786341725348E-6</v>
      </c>
      <c r="HD30" s="28">
        <v>1.4623477145789238E-6</v>
      </c>
      <c r="HE30" s="28">
        <v>1.4186167949853128E-6</v>
      </c>
      <c r="HF30" s="28">
        <v>1.3748858753917018E-6</v>
      </c>
      <c r="HG30" s="28">
        <v>1.3311549557980908E-6</v>
      </c>
      <c r="HH30" s="28">
        <v>1.2874240362044798E-6</v>
      </c>
      <c r="HI30" s="28">
        <v>1.2436931166108688E-6</v>
      </c>
      <c r="HJ30" s="28">
        <v>1.1999621970172578E-6</v>
      </c>
      <c r="HK30" s="28">
        <v>1.1562312774236468E-6</v>
      </c>
      <c r="HL30" s="28">
        <v>1.1125003578300358E-6</v>
      </c>
      <c r="HM30" s="28">
        <v>1.0687694382364248E-6</v>
      </c>
      <c r="HN30" s="28">
        <v>1.0250385186428138E-6</v>
      </c>
      <c r="HO30" s="28">
        <v>9.8130759904920284E-7</v>
      </c>
      <c r="HP30" s="28">
        <v>9.3757667945559184E-7</v>
      </c>
      <c r="HQ30" s="28">
        <v>8.9384575986198085E-7</v>
      </c>
      <c r="HR30" s="28">
        <v>8.5011484026836986E-7</v>
      </c>
      <c r="HS30" s="28">
        <v>8.0638392067475886E-7</v>
      </c>
      <c r="HT30" s="28">
        <v>7.6265300108114787E-7</v>
      </c>
      <c r="HU30" s="28">
        <v>7.1892208148753688E-7</v>
      </c>
      <c r="HV30" s="28">
        <v>6.7519116189392588E-7</v>
      </c>
      <c r="HW30" s="28">
        <v>6.3146024230031489E-7</v>
      </c>
      <c r="HX30" s="28">
        <v>5.877293227067039E-7</v>
      </c>
      <c r="HY30" s="28">
        <v>5.4399840311309291E-7</v>
      </c>
      <c r="HZ30" s="28">
        <v>5.0026748351948191E-7</v>
      </c>
      <c r="IA30" s="28">
        <v>4.5653656392587092E-7</v>
      </c>
      <c r="IB30" s="28">
        <v>4.1280564433225993E-7</v>
      </c>
      <c r="IC30" s="28">
        <v>3.6907472473864893E-7</v>
      </c>
      <c r="ID30" s="28">
        <v>3.2534380514503794E-7</v>
      </c>
      <c r="IE30" s="28">
        <v>2.8161288555142695E-7</v>
      </c>
      <c r="IF30" s="28">
        <v>2.3788196595781593E-7</v>
      </c>
      <c r="IG30" s="28">
        <v>1.9415104636420491E-7</v>
      </c>
      <c r="IH30" s="28">
        <v>1.5042012677059389E-7</v>
      </c>
      <c r="II30" s="28">
        <v>1.0668920717698287E-7</v>
      </c>
      <c r="IJ30" s="28">
        <v>6.2958287583371849E-8</v>
      </c>
      <c r="IK30" s="29">
        <v>0</v>
      </c>
      <c r="IL30" s="30"/>
      <c r="IM30" s="30"/>
      <c r="IN30" s="30"/>
      <c r="IO30" s="30"/>
      <c r="IP30" s="30"/>
      <c r="IQ30" s="30"/>
      <c r="IR30" s="30"/>
      <c r="IS30" s="30"/>
      <c r="IT30" s="30"/>
      <c r="IU30" s="30"/>
      <c r="IV30" s="30"/>
      <c r="IW30" s="30"/>
      <c r="IX30" s="30"/>
      <c r="IY30" s="30"/>
      <c r="IZ30" s="30"/>
      <c r="JA30" s="30"/>
      <c r="JB30" s="30"/>
      <c r="JC30" s="30"/>
      <c r="JD30" s="30"/>
      <c r="JE30" s="30"/>
      <c r="JF30" s="30"/>
      <c r="JG30" s="30"/>
      <c r="JH30" s="30"/>
      <c r="JI30" s="30"/>
      <c r="JJ30" s="30"/>
      <c r="JK30" s="30"/>
      <c r="JL30" s="30"/>
      <c r="JM30" s="30"/>
      <c r="JN30" s="30"/>
      <c r="JO30" s="30"/>
      <c r="JP30" s="30"/>
      <c r="JQ30" s="30"/>
      <c r="JR30" s="30"/>
      <c r="JS30" s="30"/>
      <c r="JT30" s="30"/>
      <c r="JU30" s="30"/>
      <c r="JV30" s="30"/>
      <c r="JW30" s="30"/>
      <c r="JX30" s="30"/>
      <c r="JY30" s="30"/>
      <c r="JZ30" s="30"/>
      <c r="KA30" s="30"/>
      <c r="KB30" s="30"/>
      <c r="KC30" s="30"/>
      <c r="KD30" s="30"/>
      <c r="KE30" s="30"/>
      <c r="KF30" s="30"/>
      <c r="KG30" s="30"/>
      <c r="KH30" s="30"/>
      <c r="KI30" s="30"/>
      <c r="KJ30" s="30"/>
      <c r="KK30" s="30"/>
      <c r="KL30" s="30"/>
      <c r="KM30" s="30"/>
      <c r="KN30" s="30"/>
      <c r="KO30" s="30"/>
      <c r="KP30" s="30"/>
      <c r="KQ30" s="30"/>
      <c r="KR30" s="30"/>
      <c r="KS30" s="30"/>
    </row>
    <row r="31" spans="1:305" ht="12" customHeight="1" x14ac:dyDescent="0.35">
      <c r="A31" s="14"/>
      <c r="B31" s="14"/>
      <c r="C31" s="14"/>
      <c r="D31" s="14"/>
      <c r="E31" s="14"/>
      <c r="F31" s="32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4"/>
      <c r="DF31" s="14"/>
      <c r="DG31" s="14"/>
      <c r="DH31" s="14"/>
      <c r="DI31" s="14"/>
      <c r="DJ31" s="14"/>
      <c r="DK31" s="14"/>
      <c r="DL31" s="14"/>
      <c r="DM31" s="14"/>
      <c r="DN31" s="14"/>
      <c r="DO31" s="14"/>
      <c r="DP31" s="14"/>
      <c r="DQ31" s="14"/>
      <c r="DR31" s="14"/>
      <c r="DS31" s="14"/>
      <c r="DT31" s="14"/>
      <c r="DU31" s="14"/>
      <c r="DV31" s="14"/>
      <c r="DW31" s="14"/>
      <c r="DX31" s="14"/>
      <c r="DY31" s="14"/>
      <c r="DZ31" s="14"/>
      <c r="EA31" s="14"/>
      <c r="EB31" s="14"/>
      <c r="EC31" s="14"/>
      <c r="ED31" s="14"/>
      <c r="EE31" s="14"/>
      <c r="EF31" s="14"/>
      <c r="EG31" s="14"/>
      <c r="EH31" s="14"/>
      <c r="EI31" s="14"/>
      <c r="EJ31" s="14"/>
      <c r="EK31" s="14"/>
      <c r="EL31" s="14"/>
      <c r="EM31" s="14"/>
      <c r="EN31" s="14"/>
      <c r="EO31" s="14"/>
      <c r="EP31" s="14"/>
      <c r="EQ31" s="14"/>
      <c r="ER31" s="14"/>
      <c r="ES31" s="14"/>
      <c r="ET31" s="14"/>
      <c r="EU31" s="14"/>
      <c r="EV31" s="14"/>
      <c r="EW31" s="14"/>
      <c r="EX31" s="14"/>
      <c r="EY31" s="14"/>
      <c r="EZ31" s="14"/>
      <c r="FA31" s="14"/>
      <c r="FB31" s="14"/>
      <c r="FC31" s="14"/>
      <c r="FD31" s="14"/>
      <c r="FE31" s="14"/>
      <c r="FF31" s="14"/>
      <c r="FG31" s="14"/>
      <c r="FH31" s="14"/>
      <c r="FI31" s="14"/>
      <c r="FJ31" s="14"/>
      <c r="FK31" s="14"/>
      <c r="FL31" s="14"/>
      <c r="FM31" s="14"/>
      <c r="FN31" s="14"/>
      <c r="FO31" s="14"/>
      <c r="FP31" s="14"/>
      <c r="FQ31" s="14"/>
      <c r="FR31" s="14"/>
      <c r="FS31" s="14"/>
      <c r="FT31" s="14"/>
      <c r="FU31" s="14"/>
      <c r="FV31" s="14"/>
      <c r="FW31" s="14"/>
      <c r="FX31" s="14"/>
      <c r="FY31" s="14"/>
      <c r="FZ31" s="14"/>
      <c r="GA31" s="14"/>
      <c r="GB31" s="14"/>
      <c r="GC31" s="14"/>
      <c r="GD31" s="14"/>
      <c r="GE31" s="14"/>
      <c r="GF31" s="14"/>
      <c r="GG31" s="14"/>
      <c r="GH31" s="14"/>
      <c r="GI31" s="14"/>
      <c r="GJ31" s="14"/>
      <c r="GK31" s="14"/>
      <c r="GL31" s="14"/>
      <c r="GM31" s="14"/>
      <c r="GN31" s="14"/>
      <c r="GO31" s="14"/>
      <c r="GP31" s="14"/>
      <c r="GQ31" s="14"/>
      <c r="GR31" s="14"/>
      <c r="GS31" s="14"/>
      <c r="GT31" s="14"/>
      <c r="GU31" s="14"/>
      <c r="GV31" s="14"/>
      <c r="GW31" s="14"/>
      <c r="GX31" s="14"/>
      <c r="GY31" s="14"/>
      <c r="GZ31" s="14"/>
      <c r="HA31" s="14"/>
      <c r="HB31" s="14"/>
      <c r="HC31" s="14"/>
      <c r="HD31" s="14"/>
      <c r="HE31" s="14"/>
      <c r="HF31" s="14"/>
      <c r="HG31" s="14"/>
      <c r="HH31" s="14"/>
      <c r="HI31" s="14"/>
      <c r="HJ31" s="14"/>
      <c r="HK31" s="14"/>
      <c r="HL31" s="14"/>
      <c r="HM31" s="14"/>
      <c r="HN31" s="14"/>
      <c r="HO31" s="14"/>
      <c r="HP31" s="14"/>
      <c r="HQ31" s="14"/>
      <c r="HR31" s="14"/>
      <c r="HS31" s="14"/>
      <c r="HT31" s="14"/>
      <c r="HU31" s="14"/>
      <c r="HV31" s="14"/>
      <c r="HW31" s="14"/>
      <c r="HX31" s="14"/>
      <c r="HY31" s="14"/>
      <c r="HZ31" s="14"/>
      <c r="IA31" s="14"/>
      <c r="IB31" s="14"/>
      <c r="IC31" s="14"/>
      <c r="ID31" s="14"/>
      <c r="IE31" s="14"/>
      <c r="IF31" s="14"/>
      <c r="IG31" s="14"/>
      <c r="IH31" s="14"/>
      <c r="II31" s="14"/>
      <c r="IJ31" s="14"/>
      <c r="IK31" s="14"/>
      <c r="IL31" s="30"/>
      <c r="IM31" s="30"/>
      <c r="IN31" s="30"/>
      <c r="IO31" s="30"/>
      <c r="IP31" s="30"/>
      <c r="IQ31" s="30"/>
      <c r="IR31" s="30"/>
      <c r="IS31" s="30"/>
      <c r="IT31" s="30"/>
      <c r="IU31" s="30"/>
      <c r="IV31" s="30"/>
      <c r="IW31" s="30"/>
      <c r="IX31" s="30"/>
      <c r="IY31" s="30"/>
      <c r="IZ31" s="30"/>
      <c r="JA31" s="30"/>
      <c r="JB31" s="30"/>
      <c r="JC31" s="30"/>
      <c r="JD31" s="30"/>
      <c r="JE31" s="30"/>
      <c r="JF31" s="30"/>
      <c r="JG31" s="30"/>
      <c r="JH31" s="30"/>
      <c r="JI31" s="30"/>
      <c r="JJ31" s="30"/>
      <c r="JK31" s="30"/>
      <c r="JL31" s="30"/>
      <c r="JM31" s="30"/>
      <c r="JN31" s="30"/>
      <c r="JO31" s="30"/>
      <c r="JP31" s="30"/>
      <c r="JQ31" s="30"/>
      <c r="JR31" s="30"/>
      <c r="JS31" s="30"/>
      <c r="JT31" s="30"/>
      <c r="JU31" s="30"/>
      <c r="JV31" s="30"/>
      <c r="JW31" s="30"/>
      <c r="JX31" s="30"/>
      <c r="JY31" s="30"/>
      <c r="JZ31" s="30"/>
      <c r="KA31" s="30"/>
      <c r="KB31" s="30"/>
      <c r="KC31" s="30"/>
      <c r="KD31" s="30"/>
      <c r="KE31" s="30"/>
      <c r="KF31" s="30"/>
      <c r="KG31" s="30"/>
      <c r="KH31" s="30"/>
      <c r="KI31" s="30"/>
      <c r="KJ31" s="30"/>
      <c r="KK31" s="30"/>
      <c r="KL31" s="30"/>
      <c r="KM31" s="30"/>
      <c r="KN31" s="30"/>
      <c r="KO31" s="30"/>
      <c r="KP31" s="30"/>
      <c r="KQ31" s="30"/>
      <c r="KR31" s="30"/>
      <c r="KS31" s="30"/>
    </row>
    <row r="32" spans="1:305" ht="12" customHeight="1" x14ac:dyDescent="0.35">
      <c r="A32" s="14"/>
      <c r="B32" s="16" t="s">
        <v>28</v>
      </c>
      <c r="C32" s="17" t="s">
        <v>34</v>
      </c>
      <c r="D32" s="14"/>
      <c r="E32" s="17" t="s">
        <v>35</v>
      </c>
      <c r="F32" s="18">
        <v>0.23273507391833401</v>
      </c>
      <c r="G32" s="19"/>
      <c r="H32" s="19"/>
      <c r="I32" s="19"/>
      <c r="J32" s="19"/>
      <c r="K32" s="19"/>
      <c r="L32" s="19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  <c r="DD32" s="14"/>
      <c r="DE32" s="14"/>
      <c r="DF32" s="14"/>
      <c r="DG32" s="14"/>
      <c r="DH32" s="14"/>
      <c r="DI32" s="14"/>
      <c r="DJ32" s="14"/>
      <c r="DK32" s="14"/>
      <c r="DL32" s="14"/>
      <c r="DM32" s="14"/>
      <c r="DN32" s="14"/>
      <c r="DO32" s="14"/>
      <c r="DP32" s="14"/>
      <c r="DQ32" s="14"/>
      <c r="DR32" s="14"/>
      <c r="DS32" s="14"/>
      <c r="DT32" s="14"/>
      <c r="DU32" s="14"/>
      <c r="DV32" s="14"/>
      <c r="DW32" s="14"/>
      <c r="DX32" s="14"/>
      <c r="DY32" s="14"/>
      <c r="DZ32" s="14"/>
      <c r="EA32" s="14"/>
      <c r="EB32" s="14"/>
      <c r="EC32" s="14"/>
      <c r="ED32" s="14"/>
      <c r="EE32" s="14"/>
      <c r="EF32" s="14"/>
      <c r="EG32" s="14"/>
      <c r="EH32" s="14"/>
      <c r="EI32" s="14"/>
      <c r="EJ32" s="14"/>
      <c r="EK32" s="14"/>
      <c r="EL32" s="14"/>
      <c r="EM32" s="14"/>
      <c r="EN32" s="14"/>
      <c r="EO32" s="14"/>
      <c r="EP32" s="14"/>
      <c r="EQ32" s="14"/>
      <c r="ER32" s="14"/>
      <c r="ES32" s="14"/>
      <c r="ET32" s="14"/>
      <c r="EU32" s="14"/>
      <c r="EV32" s="14"/>
      <c r="EW32" s="14"/>
      <c r="EX32" s="14"/>
      <c r="EY32" s="14"/>
      <c r="EZ32" s="14"/>
      <c r="FA32" s="14"/>
      <c r="FB32" s="14"/>
      <c r="FC32" s="14"/>
      <c r="FD32" s="14"/>
      <c r="FE32" s="14"/>
      <c r="FF32" s="14"/>
      <c r="FG32" s="14"/>
      <c r="FH32" s="14"/>
      <c r="FI32" s="14"/>
      <c r="FJ32" s="14"/>
      <c r="FK32" s="14"/>
      <c r="FL32" s="14"/>
      <c r="FM32" s="14"/>
      <c r="FN32" s="14"/>
      <c r="FO32" s="14"/>
      <c r="FP32" s="14"/>
      <c r="FQ32" s="14"/>
      <c r="FR32" s="14"/>
      <c r="FS32" s="14"/>
      <c r="FT32" s="14"/>
      <c r="FU32" s="14"/>
      <c r="FV32" s="14"/>
      <c r="FW32" s="14"/>
      <c r="FX32" s="14"/>
      <c r="FY32" s="14"/>
      <c r="FZ32" s="14"/>
      <c r="GA32" s="14"/>
      <c r="GB32" s="14"/>
      <c r="GC32" s="14"/>
      <c r="GD32" s="14"/>
      <c r="GE32" s="14"/>
      <c r="GF32" s="14"/>
      <c r="GG32" s="14"/>
      <c r="GH32" s="14"/>
      <c r="GI32" s="14"/>
      <c r="GJ32" s="14"/>
      <c r="GK32" s="14"/>
      <c r="GL32" s="14"/>
      <c r="GM32" s="14"/>
      <c r="GN32" s="14"/>
      <c r="GO32" s="14"/>
      <c r="GP32" s="14"/>
      <c r="GQ32" s="14"/>
      <c r="GR32" s="14"/>
      <c r="GS32" s="14"/>
      <c r="GT32" s="14"/>
      <c r="GU32" s="14"/>
      <c r="GV32" s="14"/>
      <c r="GW32" s="14"/>
      <c r="GX32" s="14"/>
      <c r="GY32" s="14"/>
      <c r="GZ32" s="14"/>
      <c r="HA32" s="14"/>
      <c r="HB32" s="14"/>
      <c r="HC32" s="14"/>
      <c r="HD32" s="14"/>
      <c r="HE32" s="14"/>
      <c r="HF32" s="14"/>
      <c r="HG32" s="14"/>
      <c r="HH32" s="14"/>
      <c r="HI32" s="14"/>
      <c r="HJ32" s="14"/>
      <c r="HK32" s="14"/>
      <c r="HL32" s="14"/>
      <c r="HM32" s="14"/>
      <c r="HN32" s="14"/>
      <c r="HO32" s="14"/>
      <c r="HP32" s="14"/>
      <c r="HQ32" s="14"/>
      <c r="HR32" s="14"/>
      <c r="HS32" s="14"/>
      <c r="HT32" s="14"/>
      <c r="HU32" s="14"/>
      <c r="HV32" s="14"/>
      <c r="HW32" s="14"/>
      <c r="HX32" s="14"/>
      <c r="HY32" s="14"/>
      <c r="HZ32" s="14"/>
      <c r="IA32" s="14"/>
      <c r="IB32" s="14"/>
      <c r="IC32" s="14"/>
      <c r="ID32" s="14"/>
      <c r="IE32" s="14"/>
      <c r="IF32" s="14"/>
      <c r="IG32" s="14"/>
      <c r="IH32" s="14"/>
      <c r="II32" s="14"/>
      <c r="IJ32" s="14"/>
      <c r="IK32" s="14"/>
      <c r="IL32" s="30"/>
      <c r="IM32" s="30"/>
      <c r="IN32" s="30"/>
      <c r="IO32" s="30"/>
      <c r="IP32" s="30"/>
      <c r="IQ32" s="30"/>
      <c r="IR32" s="30"/>
      <c r="IS32" s="30"/>
      <c r="IT32" s="30"/>
      <c r="IU32" s="30"/>
      <c r="IV32" s="30"/>
      <c r="IW32" s="30"/>
      <c r="IX32" s="30"/>
      <c r="IY32" s="30"/>
      <c r="IZ32" s="30"/>
      <c r="JA32" s="30"/>
      <c r="JB32" s="30"/>
      <c r="JC32" s="30"/>
      <c r="JD32" s="30"/>
      <c r="JE32" s="30"/>
      <c r="JF32" s="30"/>
      <c r="JG32" s="30"/>
      <c r="JH32" s="30"/>
      <c r="JI32" s="30"/>
      <c r="JJ32" s="30"/>
      <c r="JK32" s="30"/>
      <c r="JL32" s="30"/>
      <c r="JM32" s="30"/>
      <c r="JN32" s="30"/>
      <c r="JO32" s="30"/>
      <c r="JP32" s="30"/>
      <c r="JQ32" s="30"/>
      <c r="JR32" s="30"/>
      <c r="JS32" s="30"/>
      <c r="JT32" s="30"/>
      <c r="JU32" s="30"/>
      <c r="JV32" s="30"/>
      <c r="JW32" s="30"/>
      <c r="JX32" s="30"/>
      <c r="JY32" s="30"/>
      <c r="JZ32" s="30"/>
      <c r="KA32" s="30"/>
      <c r="KB32" s="30"/>
      <c r="KC32" s="30"/>
      <c r="KD32" s="30"/>
      <c r="KE32" s="30"/>
      <c r="KF32" s="30"/>
      <c r="KG32" s="30"/>
      <c r="KH32" s="30"/>
      <c r="KI32" s="30"/>
      <c r="KJ32" s="30"/>
      <c r="KK32" s="30"/>
      <c r="KL32" s="30"/>
      <c r="KM32" s="30"/>
      <c r="KN32" s="30"/>
      <c r="KO32" s="30"/>
      <c r="KP32" s="30"/>
      <c r="KQ32" s="30"/>
      <c r="KR32" s="30"/>
      <c r="KS32" s="30"/>
    </row>
    <row r="33" spans="1:305" ht="12" customHeight="1" x14ac:dyDescent="0.35">
      <c r="A33" s="14"/>
      <c r="B33" s="14"/>
      <c r="C33" s="14"/>
      <c r="D33" s="14"/>
      <c r="E33" s="20" t="s">
        <v>18</v>
      </c>
      <c r="F33" s="21" t="s">
        <v>36</v>
      </c>
      <c r="G33" s="21" t="s">
        <v>37</v>
      </c>
      <c r="H33" s="21" t="s">
        <v>38</v>
      </c>
      <c r="I33" s="21" t="s">
        <v>39</v>
      </c>
      <c r="J33" s="21" t="s">
        <v>40</v>
      </c>
      <c r="K33" s="21" t="s">
        <v>41</v>
      </c>
      <c r="L33" s="21" t="s">
        <v>42</v>
      </c>
      <c r="M33" s="21" t="s">
        <v>43</v>
      </c>
      <c r="N33" s="21" t="s">
        <v>44</v>
      </c>
      <c r="O33" s="21" t="s">
        <v>45</v>
      </c>
      <c r="P33" s="21" t="s">
        <v>46</v>
      </c>
      <c r="Q33" s="21" t="s">
        <v>47</v>
      </c>
      <c r="R33" s="21" t="s">
        <v>48</v>
      </c>
      <c r="S33" s="21" t="s">
        <v>49</v>
      </c>
      <c r="T33" s="21" t="s">
        <v>50</v>
      </c>
      <c r="U33" s="21" t="s">
        <v>51</v>
      </c>
      <c r="V33" s="21" t="s">
        <v>52</v>
      </c>
      <c r="W33" s="21" t="s">
        <v>53</v>
      </c>
      <c r="X33" s="21" t="s">
        <v>54</v>
      </c>
      <c r="Y33" s="21" t="s">
        <v>55</v>
      </c>
      <c r="Z33" s="21" t="s">
        <v>56</v>
      </c>
      <c r="AA33" s="21" t="s">
        <v>57</v>
      </c>
      <c r="AB33" s="21" t="s">
        <v>58</v>
      </c>
      <c r="AC33" s="21" t="s">
        <v>59</v>
      </c>
      <c r="AD33" s="22" t="s">
        <v>60</v>
      </c>
      <c r="AE33" s="22" t="s">
        <v>61</v>
      </c>
      <c r="AF33" s="22" t="s">
        <v>62</v>
      </c>
      <c r="AG33" s="22" t="s">
        <v>63</v>
      </c>
      <c r="AH33" s="22" t="s">
        <v>64</v>
      </c>
      <c r="AI33" s="22" t="s">
        <v>65</v>
      </c>
      <c r="AJ33" s="22" t="s">
        <v>66</v>
      </c>
      <c r="AK33" s="22" t="s">
        <v>67</v>
      </c>
      <c r="AL33" s="22" t="s">
        <v>68</v>
      </c>
      <c r="AM33" s="22" t="s">
        <v>69</v>
      </c>
      <c r="AN33" s="22" t="s">
        <v>70</v>
      </c>
      <c r="AO33" s="22" t="s">
        <v>71</v>
      </c>
      <c r="AP33" s="22" t="s">
        <v>72</v>
      </c>
      <c r="AQ33" s="22" t="s">
        <v>73</v>
      </c>
      <c r="AR33" s="22" t="s">
        <v>74</v>
      </c>
      <c r="AS33" s="22" t="s">
        <v>75</v>
      </c>
      <c r="AT33" s="22" t="s">
        <v>76</v>
      </c>
      <c r="AU33" s="22" t="s">
        <v>77</v>
      </c>
      <c r="AV33" s="22" t="s">
        <v>78</v>
      </c>
      <c r="AW33" s="22" t="s">
        <v>79</v>
      </c>
      <c r="AX33" s="22" t="s">
        <v>80</v>
      </c>
      <c r="AY33" s="22" t="s">
        <v>81</v>
      </c>
      <c r="AZ33" s="22" t="s">
        <v>82</v>
      </c>
      <c r="BA33" s="22" t="s">
        <v>83</v>
      </c>
      <c r="BB33" s="22" t="s">
        <v>84</v>
      </c>
      <c r="BC33" s="22" t="s">
        <v>85</v>
      </c>
      <c r="BD33" s="22" t="s">
        <v>86</v>
      </c>
      <c r="BE33" s="22" t="s">
        <v>87</v>
      </c>
      <c r="BF33" s="22" t="s">
        <v>88</v>
      </c>
      <c r="BG33" s="22" t="s">
        <v>89</v>
      </c>
      <c r="BH33" s="22" t="s">
        <v>90</v>
      </c>
      <c r="BI33" s="22" t="s">
        <v>91</v>
      </c>
      <c r="BJ33" s="22" t="s">
        <v>92</v>
      </c>
      <c r="BK33" s="22" t="s">
        <v>93</v>
      </c>
      <c r="BL33" s="22" t="s">
        <v>94</v>
      </c>
      <c r="BM33" s="22" t="s">
        <v>95</v>
      </c>
      <c r="BN33" s="22" t="s">
        <v>96</v>
      </c>
      <c r="BO33" s="22" t="s">
        <v>97</v>
      </c>
      <c r="BP33" s="22" t="s">
        <v>98</v>
      </c>
      <c r="BQ33" s="22" t="s">
        <v>99</v>
      </c>
      <c r="BR33" s="22" t="s">
        <v>100</v>
      </c>
      <c r="BS33" s="22" t="s">
        <v>101</v>
      </c>
      <c r="BT33" s="22" t="s">
        <v>102</v>
      </c>
      <c r="BU33" s="22" t="s">
        <v>103</v>
      </c>
      <c r="BV33" s="22" t="s">
        <v>104</v>
      </c>
      <c r="BW33" s="22" t="s">
        <v>105</v>
      </c>
      <c r="BX33" s="22" t="s">
        <v>106</v>
      </c>
      <c r="BY33" s="22" t="s">
        <v>107</v>
      </c>
      <c r="BZ33" s="22" t="s">
        <v>108</v>
      </c>
      <c r="CA33" s="22" t="s">
        <v>109</v>
      </c>
      <c r="CB33" s="22" t="s">
        <v>110</v>
      </c>
      <c r="CC33" s="22" t="s">
        <v>111</v>
      </c>
      <c r="CD33" s="22" t="s">
        <v>112</v>
      </c>
      <c r="CE33" s="22" t="s">
        <v>113</v>
      </c>
      <c r="CF33" s="22" t="s">
        <v>114</v>
      </c>
      <c r="CG33" s="22" t="s">
        <v>115</v>
      </c>
      <c r="CH33" s="22" t="s">
        <v>116</v>
      </c>
      <c r="CI33" s="22" t="s">
        <v>117</v>
      </c>
      <c r="CJ33" s="22" t="s">
        <v>118</v>
      </c>
      <c r="CK33" s="22" t="s">
        <v>119</v>
      </c>
      <c r="CL33" s="22" t="s">
        <v>120</v>
      </c>
      <c r="CM33" s="22" t="s">
        <v>121</v>
      </c>
      <c r="CN33" s="22" t="s">
        <v>122</v>
      </c>
      <c r="CO33" s="22" t="s">
        <v>123</v>
      </c>
      <c r="CP33" s="22" t="s">
        <v>124</v>
      </c>
      <c r="CQ33" s="22" t="s">
        <v>125</v>
      </c>
      <c r="CR33" s="22" t="s">
        <v>126</v>
      </c>
      <c r="CS33" s="22" t="s">
        <v>127</v>
      </c>
      <c r="CT33" s="22" t="s">
        <v>128</v>
      </c>
      <c r="CU33" s="22" t="s">
        <v>129</v>
      </c>
      <c r="CV33" s="22" t="s">
        <v>130</v>
      </c>
      <c r="CW33" s="22" t="s">
        <v>131</v>
      </c>
      <c r="CX33" s="22" t="s">
        <v>132</v>
      </c>
      <c r="CY33" s="22" t="s">
        <v>133</v>
      </c>
      <c r="CZ33" s="22" t="s">
        <v>134</v>
      </c>
      <c r="DA33" s="22" t="s">
        <v>135</v>
      </c>
      <c r="DB33" s="22" t="s">
        <v>136</v>
      </c>
      <c r="DC33" s="22" t="s">
        <v>137</v>
      </c>
      <c r="DD33" s="22" t="s">
        <v>138</v>
      </c>
      <c r="DE33" s="22" t="s">
        <v>139</v>
      </c>
      <c r="DF33" s="22" t="s">
        <v>140</v>
      </c>
      <c r="DG33" s="22" t="s">
        <v>141</v>
      </c>
      <c r="DH33" s="22" t="s">
        <v>142</v>
      </c>
      <c r="DI33" s="22" t="s">
        <v>143</v>
      </c>
      <c r="DJ33" s="22" t="s">
        <v>144</v>
      </c>
      <c r="DK33" s="22" t="s">
        <v>145</v>
      </c>
      <c r="DL33" s="22" t="s">
        <v>146</v>
      </c>
      <c r="DM33" s="22" t="s">
        <v>147</v>
      </c>
      <c r="DN33" s="22" t="s">
        <v>148</v>
      </c>
      <c r="DO33" s="22" t="s">
        <v>149</v>
      </c>
      <c r="DP33" s="22" t="s">
        <v>150</v>
      </c>
      <c r="DQ33" s="22" t="s">
        <v>151</v>
      </c>
      <c r="DR33" s="22" t="s">
        <v>152</v>
      </c>
      <c r="DS33" s="22" t="s">
        <v>153</v>
      </c>
      <c r="DT33" s="22" t="s">
        <v>154</v>
      </c>
      <c r="DU33" s="22" t="s">
        <v>155</v>
      </c>
      <c r="DV33" s="22" t="s">
        <v>156</v>
      </c>
      <c r="DW33" s="22" t="s">
        <v>157</v>
      </c>
      <c r="DX33" s="22" t="s">
        <v>158</v>
      </c>
      <c r="DY33" s="22" t="s">
        <v>159</v>
      </c>
      <c r="DZ33" s="22" t="s">
        <v>160</v>
      </c>
      <c r="EA33" s="22" t="s">
        <v>161</v>
      </c>
      <c r="EB33" s="22" t="s">
        <v>162</v>
      </c>
      <c r="EC33" s="22" t="s">
        <v>163</v>
      </c>
      <c r="ED33" s="22" t="s">
        <v>164</v>
      </c>
      <c r="EE33" s="22" t="s">
        <v>165</v>
      </c>
      <c r="EF33" s="22" t="s">
        <v>166</v>
      </c>
      <c r="EG33" s="22" t="s">
        <v>167</v>
      </c>
      <c r="EH33" s="22" t="s">
        <v>168</v>
      </c>
      <c r="EI33" s="22" t="s">
        <v>169</v>
      </c>
      <c r="EJ33" s="22" t="s">
        <v>170</v>
      </c>
      <c r="EK33" s="22" t="s">
        <v>171</v>
      </c>
      <c r="EL33" s="22" t="s">
        <v>172</v>
      </c>
      <c r="EM33" s="22" t="s">
        <v>173</v>
      </c>
      <c r="EN33" s="22" t="s">
        <v>174</v>
      </c>
      <c r="EO33" s="22" t="s">
        <v>175</v>
      </c>
      <c r="EP33" s="22" t="s">
        <v>176</v>
      </c>
      <c r="EQ33" s="22" t="s">
        <v>177</v>
      </c>
      <c r="ER33" s="22" t="s">
        <v>178</v>
      </c>
      <c r="ES33" s="22" t="s">
        <v>179</v>
      </c>
      <c r="ET33" s="22" t="s">
        <v>180</v>
      </c>
      <c r="EU33" s="22" t="s">
        <v>181</v>
      </c>
      <c r="EV33" s="22" t="s">
        <v>182</v>
      </c>
      <c r="EW33" s="22" t="s">
        <v>183</v>
      </c>
      <c r="EX33" s="22" t="s">
        <v>184</v>
      </c>
      <c r="EY33" s="22" t="s">
        <v>185</v>
      </c>
      <c r="EZ33" s="22" t="s">
        <v>186</v>
      </c>
      <c r="FA33" s="22" t="s">
        <v>187</v>
      </c>
      <c r="FB33" s="22" t="s">
        <v>188</v>
      </c>
      <c r="FC33" s="22" t="s">
        <v>189</v>
      </c>
      <c r="FD33" s="22" t="s">
        <v>190</v>
      </c>
      <c r="FE33" s="22" t="s">
        <v>191</v>
      </c>
      <c r="FF33" s="23" t="s">
        <v>192</v>
      </c>
      <c r="FG33" s="23" t="s">
        <v>193</v>
      </c>
      <c r="FH33" s="23" t="s">
        <v>194</v>
      </c>
      <c r="FI33" s="23" t="s">
        <v>195</v>
      </c>
      <c r="FJ33" s="23" t="s">
        <v>196</v>
      </c>
      <c r="FK33" s="23" t="s">
        <v>197</v>
      </c>
      <c r="FL33" s="23" t="s">
        <v>198</v>
      </c>
      <c r="FM33" s="23" t="s">
        <v>199</v>
      </c>
      <c r="FN33" s="23" t="s">
        <v>200</v>
      </c>
      <c r="FO33" s="23" t="s">
        <v>201</v>
      </c>
      <c r="FP33" s="23" t="s">
        <v>202</v>
      </c>
      <c r="FQ33" s="23" t="s">
        <v>203</v>
      </c>
      <c r="FR33" s="23" t="s">
        <v>204</v>
      </c>
      <c r="FS33" s="23" t="s">
        <v>205</v>
      </c>
      <c r="FT33" s="23" t="s">
        <v>206</v>
      </c>
      <c r="FU33" s="23" t="s">
        <v>207</v>
      </c>
      <c r="FV33" s="23" t="s">
        <v>208</v>
      </c>
      <c r="FW33" s="23" t="s">
        <v>209</v>
      </c>
      <c r="FX33" s="23" t="s">
        <v>210</v>
      </c>
      <c r="FY33" s="23" t="s">
        <v>211</v>
      </c>
      <c r="FZ33" s="23" t="s">
        <v>212</v>
      </c>
      <c r="GA33" s="23" t="s">
        <v>213</v>
      </c>
      <c r="GB33" s="23" t="s">
        <v>214</v>
      </c>
      <c r="GC33" s="23" t="s">
        <v>215</v>
      </c>
      <c r="GD33" s="23" t="s">
        <v>216</v>
      </c>
      <c r="GE33" s="23" t="s">
        <v>217</v>
      </c>
      <c r="GF33" s="23" t="s">
        <v>218</v>
      </c>
      <c r="GG33" s="23" t="s">
        <v>219</v>
      </c>
      <c r="GH33" s="23" t="s">
        <v>220</v>
      </c>
      <c r="GI33" s="23" t="s">
        <v>221</v>
      </c>
      <c r="GJ33" s="23" t="s">
        <v>222</v>
      </c>
      <c r="GK33" s="23" t="s">
        <v>223</v>
      </c>
      <c r="GL33" s="23" t="s">
        <v>224</v>
      </c>
      <c r="GM33" s="23" t="s">
        <v>225</v>
      </c>
      <c r="GN33" s="23" t="s">
        <v>226</v>
      </c>
      <c r="GO33" s="23" t="s">
        <v>227</v>
      </c>
      <c r="GP33" s="23" t="s">
        <v>228</v>
      </c>
      <c r="GQ33" s="23" t="s">
        <v>229</v>
      </c>
      <c r="GR33" s="23" t="s">
        <v>230</v>
      </c>
      <c r="GS33" s="23" t="s">
        <v>231</v>
      </c>
      <c r="GT33" s="23" t="s">
        <v>232</v>
      </c>
      <c r="GU33" s="23" t="s">
        <v>233</v>
      </c>
      <c r="GV33" s="23" t="s">
        <v>234</v>
      </c>
      <c r="GW33" s="23" t="s">
        <v>235</v>
      </c>
      <c r="GX33" s="23" t="s">
        <v>236</v>
      </c>
      <c r="GY33" s="23" t="s">
        <v>237</v>
      </c>
      <c r="GZ33" s="23" t="s">
        <v>238</v>
      </c>
      <c r="HA33" s="23" t="s">
        <v>239</v>
      </c>
      <c r="HB33" s="23" t="s">
        <v>240</v>
      </c>
      <c r="HC33" s="23" t="s">
        <v>241</v>
      </c>
      <c r="HD33" s="23" t="s">
        <v>242</v>
      </c>
      <c r="HE33" s="23" t="s">
        <v>243</v>
      </c>
      <c r="HF33" s="23" t="s">
        <v>244</v>
      </c>
      <c r="HG33" s="23" t="s">
        <v>245</v>
      </c>
      <c r="HH33" s="23" t="s">
        <v>246</v>
      </c>
      <c r="HI33" s="23" t="s">
        <v>247</v>
      </c>
      <c r="HJ33" s="23" t="s">
        <v>248</v>
      </c>
      <c r="HK33" s="23" t="s">
        <v>249</v>
      </c>
      <c r="HL33" s="23" t="s">
        <v>250</v>
      </c>
      <c r="HM33" s="23" t="s">
        <v>251</v>
      </c>
      <c r="HN33" s="23" t="s">
        <v>252</v>
      </c>
      <c r="HO33" s="23" t="s">
        <v>253</v>
      </c>
      <c r="HP33" s="23" t="s">
        <v>254</v>
      </c>
      <c r="HQ33" s="23" t="s">
        <v>255</v>
      </c>
      <c r="HR33" s="23" t="s">
        <v>256</v>
      </c>
      <c r="HS33" s="23" t="s">
        <v>257</v>
      </c>
      <c r="HT33" s="23" t="s">
        <v>258</v>
      </c>
      <c r="HU33" s="23" t="s">
        <v>259</v>
      </c>
      <c r="HV33" s="23" t="s">
        <v>260</v>
      </c>
      <c r="HW33" s="23" t="s">
        <v>261</v>
      </c>
      <c r="HX33" s="23" t="s">
        <v>262</v>
      </c>
      <c r="HY33" s="23" t="s">
        <v>263</v>
      </c>
      <c r="HZ33" s="23" t="s">
        <v>264</v>
      </c>
      <c r="IA33" s="23" t="s">
        <v>265</v>
      </c>
      <c r="IB33" s="23" t="s">
        <v>266</v>
      </c>
      <c r="IC33" s="23" t="s">
        <v>267</v>
      </c>
      <c r="ID33" s="23" t="s">
        <v>268</v>
      </c>
      <c r="IE33" s="23" t="s">
        <v>269</v>
      </c>
      <c r="IF33" s="23" t="s">
        <v>270</v>
      </c>
      <c r="IG33" s="23" t="s">
        <v>271</v>
      </c>
      <c r="IH33" s="23" t="s">
        <v>272</v>
      </c>
      <c r="II33" s="23" t="s">
        <v>273</v>
      </c>
      <c r="IJ33" s="23" t="s">
        <v>274</v>
      </c>
      <c r="IK33" s="23" t="s">
        <v>275</v>
      </c>
      <c r="IL33" s="27"/>
      <c r="IM33" s="27"/>
      <c r="IN33" s="27"/>
      <c r="IO33" s="27"/>
      <c r="IP33" s="27"/>
      <c r="IQ33" s="27"/>
      <c r="IR33" s="27"/>
      <c r="IS33" s="27"/>
      <c r="IT33" s="27"/>
      <c r="IU33" s="27"/>
      <c r="IV33" s="27"/>
      <c r="IW33" s="27"/>
      <c r="IX33" s="27"/>
      <c r="IY33" s="27"/>
      <c r="IZ33" s="27"/>
      <c r="JA33" s="27"/>
      <c r="JB33" s="27"/>
      <c r="JC33" s="27"/>
      <c r="JD33" s="27"/>
      <c r="JE33" s="27"/>
      <c r="JF33" s="27"/>
      <c r="JG33" s="27"/>
      <c r="JH33" s="27"/>
      <c r="JI33" s="27"/>
      <c r="JJ33" s="27"/>
      <c r="JK33" s="27"/>
      <c r="JL33" s="27"/>
      <c r="JM33" s="27"/>
      <c r="JN33" s="27"/>
      <c r="JO33" s="27"/>
      <c r="JP33" s="27"/>
      <c r="JQ33" s="27"/>
      <c r="JR33" s="27"/>
      <c r="JS33" s="27"/>
      <c r="JT33" s="27"/>
      <c r="JU33" s="27"/>
      <c r="JV33" s="27"/>
      <c r="JW33" s="27"/>
      <c r="JX33" s="27"/>
      <c r="JY33" s="27"/>
      <c r="JZ33" s="27"/>
      <c r="KA33" s="27"/>
      <c r="KB33" s="27"/>
      <c r="KC33" s="27"/>
      <c r="KD33" s="27"/>
      <c r="KE33" s="27"/>
      <c r="KF33" s="27"/>
      <c r="KG33" s="27"/>
      <c r="KH33" s="27"/>
      <c r="KI33" s="27"/>
      <c r="KJ33" s="27"/>
      <c r="KK33" s="27"/>
      <c r="KL33" s="27"/>
      <c r="KM33" s="27"/>
      <c r="KN33" s="27"/>
      <c r="KO33" s="27"/>
      <c r="KP33" s="27"/>
      <c r="KQ33" s="27"/>
      <c r="KR33" s="27"/>
      <c r="KS33" s="27"/>
    </row>
    <row r="34" spans="1:305" ht="12" customHeight="1" x14ac:dyDescent="0.35">
      <c r="A34" s="14"/>
      <c r="B34" s="14"/>
      <c r="C34" s="14"/>
      <c r="D34" s="14"/>
      <c r="E34" s="14"/>
      <c r="F34" s="33">
        <v>1</v>
      </c>
      <c r="G34" s="34">
        <v>0.9380741137590185</v>
      </c>
      <c r="H34" s="34">
        <v>0.876148227518037</v>
      </c>
      <c r="I34" s="34">
        <v>0.81422234127705551</v>
      </c>
      <c r="J34" s="34">
        <v>0.75229645503607401</v>
      </c>
      <c r="K34" s="34">
        <v>0.69037056879509251</v>
      </c>
      <c r="L34" s="34">
        <v>0.62844468255411101</v>
      </c>
      <c r="M34" s="34">
        <v>0.56651879631312951</v>
      </c>
      <c r="N34" s="34">
        <v>0.50459291007214802</v>
      </c>
      <c r="O34" s="34">
        <v>0.44266702383116652</v>
      </c>
      <c r="P34" s="34">
        <v>0.38074113759018502</v>
      </c>
      <c r="Q34" s="34">
        <v>0.31881525134920352</v>
      </c>
      <c r="R34" s="34">
        <v>0.30071757744450789</v>
      </c>
      <c r="S34" s="34">
        <v>0.28261990353981226</v>
      </c>
      <c r="T34" s="34">
        <v>0.26452222963511662</v>
      </c>
      <c r="U34" s="34">
        <v>0.24642455573042096</v>
      </c>
      <c r="V34" s="34">
        <v>0.2283268818257253</v>
      </c>
      <c r="W34" s="34">
        <v>0.21022920792102964</v>
      </c>
      <c r="X34" s="34">
        <v>0.19213153401633398</v>
      </c>
      <c r="Y34" s="34">
        <v>0.17403386011163832</v>
      </c>
      <c r="Z34" s="34">
        <v>0.15593618620694266</v>
      </c>
      <c r="AA34" s="34">
        <v>0.137838512302247</v>
      </c>
      <c r="AB34" s="34">
        <v>0.11974083839755136</v>
      </c>
      <c r="AC34" s="34">
        <v>0.10164316449285571</v>
      </c>
      <c r="AD34" s="34">
        <v>9.5873350038094232E-2</v>
      </c>
      <c r="AE34" s="34">
        <v>9.0103535583332756E-2</v>
      </c>
      <c r="AF34" s="34">
        <v>8.4333721128571279E-2</v>
      </c>
      <c r="AG34" s="34">
        <v>7.8563906673809802E-2</v>
      </c>
      <c r="AH34" s="34">
        <v>7.2794092219048326E-2</v>
      </c>
      <c r="AI34" s="34">
        <v>6.7024277764286849E-2</v>
      </c>
      <c r="AJ34" s="34">
        <v>6.125446330952538E-2</v>
      </c>
      <c r="AK34" s="34">
        <v>5.548464885476391E-2</v>
      </c>
      <c r="AL34" s="34">
        <v>4.971483440000244E-2</v>
      </c>
      <c r="AM34" s="34">
        <v>4.3945019945240971E-2</v>
      </c>
      <c r="AN34" s="34">
        <v>3.8175205490479501E-2</v>
      </c>
      <c r="AO34" s="34">
        <v>3.2405391035718031E-2</v>
      </c>
      <c r="AP34" s="34">
        <v>3.0565886190084983E-2</v>
      </c>
      <c r="AQ34" s="34">
        <v>2.8726381344451934E-2</v>
      </c>
      <c r="AR34" s="34">
        <v>2.6886876498818886E-2</v>
      </c>
      <c r="AS34" s="34">
        <v>2.5047371653185838E-2</v>
      </c>
      <c r="AT34" s="34">
        <v>2.3207866807552789E-2</v>
      </c>
      <c r="AU34" s="34">
        <v>2.1368361961919741E-2</v>
      </c>
      <c r="AV34" s="34">
        <v>1.9528857116286692E-2</v>
      </c>
      <c r="AW34" s="34">
        <v>1.7689352270653644E-2</v>
      </c>
      <c r="AX34" s="34">
        <v>1.5849847425020595E-2</v>
      </c>
      <c r="AY34" s="34">
        <v>1.4010342579387547E-2</v>
      </c>
      <c r="AZ34" s="34">
        <v>1.2170837733754498E-2</v>
      </c>
      <c r="BA34" s="34">
        <v>1.033133288812145E-2</v>
      </c>
      <c r="BB34" s="34">
        <v>9.7448706884028721E-3</v>
      </c>
      <c r="BC34" s="34">
        <v>9.1584084886842942E-3</v>
      </c>
      <c r="BD34" s="34">
        <v>8.5719462889657164E-3</v>
      </c>
      <c r="BE34" s="34">
        <v>7.9854840892471385E-3</v>
      </c>
      <c r="BF34" s="34">
        <v>7.3990218895285597E-3</v>
      </c>
      <c r="BG34" s="34">
        <v>6.812559689809981E-3</v>
      </c>
      <c r="BH34" s="34">
        <v>6.2260974900914022E-3</v>
      </c>
      <c r="BI34" s="34">
        <v>5.6396352903728235E-3</v>
      </c>
      <c r="BJ34" s="34">
        <v>5.0531730906542447E-3</v>
      </c>
      <c r="BK34" s="34">
        <v>4.466710890935666E-3</v>
      </c>
      <c r="BL34" s="34">
        <v>3.8802486912170872E-3</v>
      </c>
      <c r="BM34" s="34">
        <v>3.2937864914985085E-3</v>
      </c>
      <c r="BN34" s="28">
        <v>3.1068133978884227E-3</v>
      </c>
      <c r="BO34" s="28">
        <v>2.9198403042783368E-3</v>
      </c>
      <c r="BP34" s="28">
        <v>2.732867210668251E-3</v>
      </c>
      <c r="BQ34" s="28">
        <v>2.5458941170581652E-3</v>
      </c>
      <c r="BR34" s="28">
        <v>2.3589210234480794E-3</v>
      </c>
      <c r="BS34" s="28">
        <v>2.1719479298379935E-3</v>
      </c>
      <c r="BT34" s="28">
        <v>1.9849748362279077E-3</v>
      </c>
      <c r="BU34" s="28">
        <v>1.7980017426178221E-3</v>
      </c>
      <c r="BV34" s="28">
        <v>1.6110286490077365E-3</v>
      </c>
      <c r="BW34" s="28">
        <v>1.4240555553976509E-3</v>
      </c>
      <c r="BX34" s="28">
        <v>1.2370824617875652E-3</v>
      </c>
      <c r="BY34" s="28">
        <v>1.0501093681774796E-3</v>
      </c>
      <c r="BZ34" s="28">
        <v>9.9049949434264206E-4</v>
      </c>
      <c r="CA34" s="28">
        <v>9.3088962050780438E-4</v>
      </c>
      <c r="CB34" s="28">
        <v>8.7127974667296671E-4</v>
      </c>
      <c r="CC34" s="28">
        <v>8.1166987283812903E-4</v>
      </c>
      <c r="CD34" s="28">
        <v>7.5205999900329135E-4</v>
      </c>
      <c r="CE34" s="28">
        <v>6.9245012516845367E-4</v>
      </c>
      <c r="CF34" s="28">
        <v>6.3284025133361599E-4</v>
      </c>
      <c r="CG34" s="28">
        <v>5.7323037749877832E-4</v>
      </c>
      <c r="CH34" s="28">
        <v>5.1362050366394064E-4</v>
      </c>
      <c r="CI34" s="28">
        <v>4.5401062982910296E-4</v>
      </c>
      <c r="CJ34" s="28">
        <v>3.9440075599426528E-4</v>
      </c>
      <c r="CK34" s="28">
        <v>3.347908821594276E-4</v>
      </c>
      <c r="CL34" s="28">
        <v>3.157863452498795E-4</v>
      </c>
      <c r="CM34" s="28">
        <v>2.9678180834033139E-4</v>
      </c>
      <c r="CN34" s="28">
        <v>2.7777727143078328E-4</v>
      </c>
      <c r="CO34" s="28">
        <v>2.5877273452123517E-4</v>
      </c>
      <c r="CP34" s="28">
        <v>2.3976819761168706E-4</v>
      </c>
      <c r="CQ34" s="28">
        <v>2.2076366070213896E-4</v>
      </c>
      <c r="CR34" s="28">
        <v>2.0175912379259085E-4</v>
      </c>
      <c r="CS34" s="28">
        <v>1.8275458688304274E-4</v>
      </c>
      <c r="CT34" s="28">
        <v>1.6375004997349463E-4</v>
      </c>
      <c r="CU34" s="28">
        <v>1.4474551306394652E-4</v>
      </c>
      <c r="CV34" s="28">
        <v>1.2574097615439841E-4</v>
      </c>
      <c r="CW34" s="28">
        <v>1.0673643924485031E-4</v>
      </c>
      <c r="CX34" s="28">
        <v>1.006775030332575E-4</v>
      </c>
      <c r="CY34" s="28">
        <v>9.4618566821664699E-5</v>
      </c>
      <c r="CZ34" s="28">
        <v>8.8559630610071896E-5</v>
      </c>
      <c r="DA34" s="28">
        <v>8.2500694398479092E-5</v>
      </c>
      <c r="DB34" s="28">
        <v>7.6441758186886289E-5</v>
      </c>
      <c r="DC34" s="28">
        <v>7.0382821975293485E-5</v>
      </c>
      <c r="DD34" s="28">
        <v>6.4323885763700682E-5</v>
      </c>
      <c r="DE34" s="28">
        <v>5.8264949552107878E-5</v>
      </c>
      <c r="DF34" s="28">
        <v>5.2206013340515075E-5</v>
      </c>
      <c r="DG34" s="28">
        <v>4.6147077128922271E-5</v>
      </c>
      <c r="DH34" s="28">
        <v>4.0088140917329468E-5</v>
      </c>
      <c r="DI34" s="28">
        <v>3.4029204705736664E-5</v>
      </c>
      <c r="DJ34" s="28">
        <v>3.209752343452891E-5</v>
      </c>
      <c r="DK34" s="28">
        <v>3.0165842163321156E-5</v>
      </c>
      <c r="DL34" s="28">
        <v>2.8234160892113401E-5</v>
      </c>
      <c r="DM34" s="28">
        <v>2.6302479620905647E-5</v>
      </c>
      <c r="DN34" s="28">
        <v>2.4370798349697893E-5</v>
      </c>
      <c r="DO34" s="28">
        <v>2.2439117078490139E-5</v>
      </c>
      <c r="DP34" s="28">
        <v>2.0507435807282384E-5</v>
      </c>
      <c r="DQ34" s="28">
        <v>1.857575453607463E-5</v>
      </c>
      <c r="DR34" s="28">
        <v>1.6644073264866876E-5</v>
      </c>
      <c r="DS34" s="28">
        <v>1.4712391993659123E-5</v>
      </c>
      <c r="DT34" s="28">
        <v>1.278071072245137E-5</v>
      </c>
      <c r="DU34" s="28">
        <v>1.0849029451243618E-5</v>
      </c>
      <c r="DV34" s="28">
        <v>1.0233180001236969E-5</v>
      </c>
      <c r="DW34" s="28">
        <v>9.6173305512303199E-6</v>
      </c>
      <c r="DX34" s="28">
        <v>9.001481101223671E-6</v>
      </c>
      <c r="DY34" s="28">
        <v>8.3856316512170221E-6</v>
      </c>
      <c r="DZ34" s="28">
        <v>7.7697822012103732E-6</v>
      </c>
      <c r="EA34" s="28">
        <v>7.1539327512037243E-6</v>
      </c>
      <c r="EB34" s="28">
        <v>6.5380833011970754E-6</v>
      </c>
      <c r="EC34" s="28">
        <v>5.9222338511904265E-6</v>
      </c>
      <c r="ED34" s="28">
        <v>5.3063844011837775E-6</v>
      </c>
      <c r="EE34" s="28">
        <v>4.6905349511771286E-6</v>
      </c>
      <c r="EF34" s="28">
        <v>4.0746855011704797E-6</v>
      </c>
      <c r="EG34" s="28">
        <v>3.4588360511638308E-6</v>
      </c>
      <c r="EH34" s="28">
        <v>3.2624938539666922E-6</v>
      </c>
      <c r="EI34" s="28">
        <v>3.0661516567695535E-6</v>
      </c>
      <c r="EJ34" s="28">
        <v>2.8698094595724148E-6</v>
      </c>
      <c r="EK34" s="28">
        <v>2.6734672623752762E-6</v>
      </c>
      <c r="EL34" s="28">
        <v>2.4771250651781375E-6</v>
      </c>
      <c r="EM34" s="28">
        <v>2.2807828679809989E-6</v>
      </c>
      <c r="EN34" s="28">
        <v>2.0844406707838602E-6</v>
      </c>
      <c r="EO34" s="28">
        <v>1.8880984735867213E-6</v>
      </c>
      <c r="EP34" s="28">
        <v>1.6917562763895825E-6</v>
      </c>
      <c r="EQ34" s="28">
        <v>1.4954140791924436E-6</v>
      </c>
      <c r="ER34" s="28">
        <v>1.2990718819953047E-6</v>
      </c>
      <c r="ES34" s="28">
        <v>1.1027296847981659E-6</v>
      </c>
      <c r="ET34" s="28">
        <v>1.0401327978483051E-6</v>
      </c>
      <c r="EU34" s="28">
        <v>9.7753591089844424E-7</v>
      </c>
      <c r="EV34" s="28">
        <v>9.1493902394858342E-7</v>
      </c>
      <c r="EW34" s="28">
        <v>8.5234213699872261E-7</v>
      </c>
      <c r="EX34" s="28">
        <v>7.897452500488618E-7</v>
      </c>
      <c r="EY34" s="28">
        <v>7.2714836309900099E-7</v>
      </c>
      <c r="EZ34" s="28">
        <v>6.6455147614914017E-7</v>
      </c>
      <c r="FA34" s="28">
        <v>6.0195458919927936E-7</v>
      </c>
      <c r="FB34" s="28">
        <v>5.3935770224941855E-7</v>
      </c>
      <c r="FC34" s="28">
        <v>4.7676081529955779E-7</v>
      </c>
      <c r="FD34" s="28">
        <v>4.1416392834969703E-7</v>
      </c>
      <c r="FE34" s="28">
        <v>3.5156704139983627E-7</v>
      </c>
      <c r="FF34" s="28">
        <v>3.3161019915323871E-7</v>
      </c>
      <c r="FG34" s="28">
        <v>3.1165335690664116E-7</v>
      </c>
      <c r="FH34" s="28">
        <v>2.916965146600436E-7</v>
      </c>
      <c r="FI34" s="28">
        <v>2.7173967241344604E-7</v>
      </c>
      <c r="FJ34" s="28">
        <v>2.5178283016684849E-7</v>
      </c>
      <c r="FK34" s="28">
        <v>2.3182598792025093E-7</v>
      </c>
      <c r="FL34" s="28">
        <v>2.1186914567365338E-7</v>
      </c>
      <c r="FM34" s="28">
        <v>1.9191230342705582E-7</v>
      </c>
      <c r="FN34" s="28">
        <v>1.7195546118045826E-7</v>
      </c>
      <c r="FO34" s="28">
        <v>1.5199861893386071E-7</v>
      </c>
      <c r="FP34" s="28">
        <v>1.3204177668726315E-7</v>
      </c>
      <c r="FQ34" s="28">
        <v>1.1208493444066558E-7</v>
      </c>
      <c r="FR34" s="28">
        <v>1.0572238876368017E-7</v>
      </c>
      <c r="FS34" s="28">
        <v>9.9359843086694759E-8</v>
      </c>
      <c r="FT34" s="28">
        <v>9.2997297409709348E-8</v>
      </c>
      <c r="FU34" s="28">
        <v>8.6634751732723937E-8</v>
      </c>
      <c r="FV34" s="28">
        <v>8.0272206055738525E-8</v>
      </c>
      <c r="FW34" s="28">
        <v>7.3909660378753114E-8</v>
      </c>
      <c r="FX34" s="28">
        <v>6.7547114701767703E-8</v>
      </c>
      <c r="FY34" s="28">
        <v>6.1184569024782291E-8</v>
      </c>
      <c r="FZ34" s="28">
        <v>5.482202334779688E-8</v>
      </c>
      <c r="GA34" s="28">
        <v>4.8459477670811469E-8</v>
      </c>
      <c r="GB34" s="28">
        <v>4.2096931993826057E-8</v>
      </c>
      <c r="GC34" s="28">
        <v>3.5734386316840646E-8</v>
      </c>
      <c r="GD34" s="28">
        <v>3.513964551543165E-8</v>
      </c>
      <c r="GE34" s="28">
        <v>3.4544904714022654E-8</v>
      </c>
      <c r="GF34" s="28">
        <v>3.3950163912613658E-8</v>
      </c>
      <c r="GG34" s="28">
        <v>3.3355423111204662E-8</v>
      </c>
      <c r="GH34" s="28">
        <v>3.2760682309795666E-8</v>
      </c>
      <c r="GI34" s="28">
        <v>3.216594150838667E-8</v>
      </c>
      <c r="GJ34" s="28">
        <v>3.1571200706977674E-8</v>
      </c>
      <c r="GK34" s="28">
        <v>3.0976459905568677E-8</v>
      </c>
      <c r="GL34" s="28">
        <v>3.0381719104159681E-8</v>
      </c>
      <c r="GM34" s="28">
        <v>2.9786978302750689E-8</v>
      </c>
      <c r="GN34" s="28">
        <v>2.9192237501341696E-8</v>
      </c>
      <c r="GO34" s="28">
        <v>2.8597496699932703E-8</v>
      </c>
      <c r="GP34" s="28">
        <v>2.800275589852371E-8</v>
      </c>
      <c r="GQ34" s="28">
        <v>2.7408015097114717E-8</v>
      </c>
      <c r="GR34" s="28">
        <v>2.6813274295705725E-8</v>
      </c>
      <c r="GS34" s="28">
        <v>2.6218533494296732E-8</v>
      </c>
      <c r="GT34" s="28">
        <v>2.5623792692887739E-8</v>
      </c>
      <c r="GU34" s="28">
        <v>2.5029051891478746E-8</v>
      </c>
      <c r="GV34" s="28">
        <v>2.4434311090069754E-8</v>
      </c>
      <c r="GW34" s="28">
        <v>2.3839570288660761E-8</v>
      </c>
      <c r="GX34" s="28">
        <v>2.3244829487251768E-8</v>
      </c>
      <c r="GY34" s="28">
        <v>2.2650088685842775E-8</v>
      </c>
      <c r="GZ34" s="28">
        <v>2.2055347884433782E-8</v>
      </c>
      <c r="HA34" s="28">
        <v>2.146060708302479E-8</v>
      </c>
      <c r="HB34" s="28">
        <v>2.0865866281615797E-8</v>
      </c>
      <c r="HC34" s="28">
        <v>2.0271125480206804E-8</v>
      </c>
      <c r="HD34" s="28">
        <v>1.9676384678797811E-8</v>
      </c>
      <c r="HE34" s="28">
        <v>1.9081643877388818E-8</v>
      </c>
      <c r="HF34" s="28">
        <v>1.8486903075979826E-8</v>
      </c>
      <c r="HG34" s="28">
        <v>1.7892162274570833E-8</v>
      </c>
      <c r="HH34" s="28">
        <v>1.729742147316184E-8</v>
      </c>
      <c r="HI34" s="28">
        <v>1.6702680671752847E-8</v>
      </c>
      <c r="HJ34" s="28">
        <v>1.6107939870343855E-8</v>
      </c>
      <c r="HK34" s="28">
        <v>1.5513199068934862E-8</v>
      </c>
      <c r="HL34" s="28">
        <v>1.4918458267525869E-8</v>
      </c>
      <c r="HM34" s="28">
        <v>1.4323717466116876E-8</v>
      </c>
      <c r="HN34" s="28">
        <v>1.3728976664707883E-8</v>
      </c>
      <c r="HO34" s="28">
        <v>1.3134235863298891E-8</v>
      </c>
      <c r="HP34" s="28">
        <v>1.2539495061889898E-8</v>
      </c>
      <c r="HQ34" s="28">
        <v>1.1944754260480905E-8</v>
      </c>
      <c r="HR34" s="28">
        <v>1.1350013459071912E-8</v>
      </c>
      <c r="HS34" s="28">
        <v>1.075527265766292E-8</v>
      </c>
      <c r="HT34" s="28">
        <v>1.0160531856253927E-8</v>
      </c>
      <c r="HU34" s="28">
        <v>9.565791054844934E-9</v>
      </c>
      <c r="HV34" s="28">
        <v>8.9710502534359412E-9</v>
      </c>
      <c r="HW34" s="28">
        <v>8.3763094520269484E-9</v>
      </c>
      <c r="HX34" s="28">
        <v>7.7815686506179556E-9</v>
      </c>
      <c r="HY34" s="28">
        <v>7.1868278492089629E-9</v>
      </c>
      <c r="HZ34" s="28">
        <v>6.5920870477999701E-9</v>
      </c>
      <c r="IA34" s="28">
        <v>5.9973462463909773E-9</v>
      </c>
      <c r="IB34" s="28">
        <v>5.4026054449819845E-9</v>
      </c>
      <c r="IC34" s="28">
        <v>4.8078646435729917E-9</v>
      </c>
      <c r="ID34" s="28">
        <v>4.213123842163999E-9</v>
      </c>
      <c r="IE34" s="28">
        <v>3.6183830407550062E-9</v>
      </c>
      <c r="IF34" s="28">
        <v>3.0236422393460134E-9</v>
      </c>
      <c r="IG34" s="28">
        <v>2.4289014379370206E-9</v>
      </c>
      <c r="IH34" s="28">
        <v>1.8341606365280278E-9</v>
      </c>
      <c r="II34" s="28">
        <v>1.239419835119035E-9</v>
      </c>
      <c r="IJ34" s="28">
        <v>6.4467903371004227E-10</v>
      </c>
      <c r="IK34" s="29">
        <v>0</v>
      </c>
      <c r="IL34" s="30"/>
      <c r="IM34" s="30"/>
      <c r="IN34" s="30"/>
      <c r="IO34" s="30"/>
      <c r="IP34" s="30"/>
      <c r="IQ34" s="30"/>
      <c r="IR34" s="30"/>
      <c r="IS34" s="30"/>
      <c r="IT34" s="30"/>
      <c r="IU34" s="30"/>
      <c r="IV34" s="30"/>
      <c r="IW34" s="30"/>
      <c r="IX34" s="30"/>
      <c r="IY34" s="30"/>
      <c r="IZ34" s="30"/>
      <c r="JA34" s="30"/>
      <c r="JB34" s="30"/>
      <c r="JC34" s="30"/>
      <c r="JD34" s="30"/>
      <c r="JE34" s="30"/>
      <c r="JF34" s="30"/>
      <c r="JG34" s="30"/>
      <c r="JH34" s="30"/>
      <c r="JI34" s="30"/>
      <c r="JJ34" s="30"/>
      <c r="JK34" s="30"/>
      <c r="JL34" s="30"/>
      <c r="JM34" s="30"/>
      <c r="JN34" s="30"/>
      <c r="JO34" s="30"/>
      <c r="JP34" s="30"/>
      <c r="JQ34" s="30"/>
      <c r="JR34" s="30"/>
      <c r="JS34" s="30"/>
      <c r="JT34" s="30"/>
      <c r="JU34" s="30"/>
      <c r="JV34" s="30"/>
      <c r="JW34" s="30"/>
      <c r="JX34" s="30"/>
      <c r="JY34" s="30"/>
      <c r="JZ34" s="30"/>
      <c r="KA34" s="30"/>
      <c r="KB34" s="30"/>
      <c r="KC34" s="30"/>
      <c r="KD34" s="30"/>
      <c r="KE34" s="30"/>
      <c r="KF34" s="30"/>
      <c r="KG34" s="30"/>
      <c r="KH34" s="30"/>
      <c r="KI34" s="30"/>
      <c r="KJ34" s="30"/>
      <c r="KK34" s="30"/>
      <c r="KL34" s="30"/>
      <c r="KM34" s="30"/>
      <c r="KN34" s="30"/>
      <c r="KO34" s="30"/>
      <c r="KP34" s="30"/>
      <c r="KQ34" s="30"/>
      <c r="KR34" s="30"/>
      <c r="KS34" s="30"/>
    </row>
    <row r="35" spans="1:305" ht="12" customHeight="1" x14ac:dyDescent="0.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4"/>
      <c r="DC35" s="14"/>
      <c r="DD35" s="14"/>
      <c r="DE35" s="14"/>
      <c r="DF35" s="14"/>
      <c r="DG35" s="14"/>
      <c r="DH35" s="14"/>
      <c r="DI35" s="14"/>
      <c r="DJ35" s="14"/>
      <c r="DK35" s="14"/>
      <c r="DL35" s="14"/>
      <c r="DM35" s="14"/>
      <c r="DN35" s="14"/>
      <c r="DO35" s="14"/>
      <c r="DP35" s="14"/>
      <c r="DQ35" s="14"/>
      <c r="DR35" s="14"/>
      <c r="DS35" s="14"/>
      <c r="DT35" s="14"/>
      <c r="DU35" s="14"/>
      <c r="DV35" s="14"/>
      <c r="DW35" s="14"/>
      <c r="DX35" s="14"/>
      <c r="DY35" s="14"/>
      <c r="DZ35" s="14"/>
      <c r="EA35" s="14"/>
      <c r="EB35" s="14"/>
      <c r="EC35" s="14"/>
      <c r="ED35" s="14"/>
      <c r="EE35" s="14"/>
      <c r="EF35" s="14"/>
      <c r="EG35" s="14"/>
      <c r="EH35" s="14"/>
      <c r="EI35" s="14"/>
      <c r="EJ35" s="14"/>
      <c r="EK35" s="14"/>
      <c r="EL35" s="14"/>
      <c r="EM35" s="14"/>
      <c r="EN35" s="14"/>
      <c r="EO35" s="14"/>
      <c r="EP35" s="14"/>
      <c r="EQ35" s="14"/>
      <c r="ER35" s="14"/>
      <c r="ES35" s="14"/>
      <c r="ET35" s="14"/>
      <c r="EU35" s="14"/>
      <c r="EV35" s="14"/>
      <c r="EW35" s="14"/>
      <c r="EX35" s="14"/>
      <c r="EY35" s="14"/>
      <c r="EZ35" s="14"/>
      <c r="FA35" s="14"/>
      <c r="FB35" s="14"/>
      <c r="FC35" s="14"/>
      <c r="FD35" s="14"/>
      <c r="FE35" s="14"/>
      <c r="FF35" s="14"/>
      <c r="FG35" s="14"/>
      <c r="FH35" s="14"/>
      <c r="FI35" s="14"/>
      <c r="FJ35" s="14"/>
      <c r="FK35" s="14"/>
      <c r="FL35" s="14"/>
      <c r="FM35" s="14"/>
      <c r="FN35" s="14"/>
      <c r="FO35" s="14"/>
      <c r="FP35" s="14"/>
      <c r="FQ35" s="14"/>
      <c r="FR35" s="14"/>
      <c r="FS35" s="14"/>
      <c r="FT35" s="14"/>
      <c r="FU35" s="14"/>
      <c r="FV35" s="14"/>
      <c r="FW35" s="14"/>
      <c r="FX35" s="14"/>
      <c r="FY35" s="14"/>
      <c r="FZ35" s="14"/>
      <c r="GA35" s="14"/>
      <c r="GB35" s="14"/>
      <c r="GC35" s="14"/>
      <c r="GD35" s="14"/>
      <c r="GE35" s="14"/>
      <c r="GF35" s="14"/>
      <c r="GG35" s="14"/>
      <c r="GH35" s="14"/>
      <c r="GI35" s="14"/>
      <c r="GJ35" s="14"/>
      <c r="GK35" s="14"/>
      <c r="GL35" s="14"/>
      <c r="GM35" s="14"/>
      <c r="GN35" s="14"/>
      <c r="GO35" s="14"/>
      <c r="GP35" s="14"/>
      <c r="GQ35" s="14"/>
      <c r="GR35" s="14"/>
      <c r="GS35" s="14"/>
      <c r="GT35" s="14"/>
      <c r="GU35" s="14"/>
      <c r="GV35" s="14"/>
      <c r="GW35" s="14"/>
      <c r="GX35" s="14"/>
      <c r="GY35" s="14"/>
      <c r="GZ35" s="14"/>
      <c r="HA35" s="14"/>
      <c r="HB35" s="14"/>
      <c r="HC35" s="14"/>
      <c r="HD35" s="14"/>
      <c r="HE35" s="14"/>
      <c r="HF35" s="14"/>
      <c r="HG35" s="14"/>
      <c r="HH35" s="14"/>
      <c r="HI35" s="14"/>
      <c r="HJ35" s="14"/>
      <c r="HK35" s="14"/>
      <c r="HL35" s="14"/>
      <c r="HM35" s="14"/>
      <c r="HN35" s="14"/>
      <c r="HO35" s="14"/>
      <c r="HP35" s="14"/>
      <c r="HQ35" s="14"/>
      <c r="HR35" s="14"/>
      <c r="HS35" s="14"/>
      <c r="HT35" s="14"/>
      <c r="HU35" s="14"/>
      <c r="HV35" s="14"/>
      <c r="HW35" s="14"/>
      <c r="HX35" s="14"/>
      <c r="HY35" s="14"/>
      <c r="HZ35" s="14"/>
      <c r="IA35" s="14"/>
      <c r="IB35" s="14"/>
      <c r="IC35" s="14"/>
      <c r="ID35" s="14"/>
      <c r="IE35" s="14"/>
      <c r="IF35" s="14"/>
      <c r="IG35" s="14"/>
      <c r="IH35" s="14"/>
      <c r="II35" s="14"/>
      <c r="IJ35" s="14"/>
      <c r="IK35" s="14"/>
      <c r="IL35" s="30"/>
      <c r="IM35" s="30"/>
      <c r="IN35" s="30"/>
      <c r="IO35" s="30"/>
      <c r="IP35" s="30"/>
      <c r="IQ35" s="30"/>
      <c r="IR35" s="30"/>
      <c r="IS35" s="30"/>
      <c r="IT35" s="30"/>
      <c r="IU35" s="30"/>
      <c r="IV35" s="30"/>
      <c r="IW35" s="30"/>
      <c r="IX35" s="30"/>
      <c r="IY35" s="30"/>
      <c r="IZ35" s="30"/>
      <c r="JA35" s="30"/>
      <c r="JB35" s="30"/>
      <c r="JC35" s="30"/>
      <c r="JD35" s="30"/>
      <c r="JE35" s="30"/>
      <c r="JF35" s="30"/>
      <c r="JG35" s="30"/>
      <c r="JH35" s="30"/>
      <c r="JI35" s="30"/>
      <c r="JJ35" s="30"/>
      <c r="JK35" s="30"/>
      <c r="JL35" s="30"/>
      <c r="JM35" s="30"/>
      <c r="JN35" s="30"/>
      <c r="JO35" s="30"/>
      <c r="JP35" s="30"/>
      <c r="JQ35" s="30"/>
      <c r="JR35" s="30"/>
      <c r="JS35" s="30"/>
      <c r="JT35" s="30"/>
      <c r="JU35" s="30"/>
      <c r="JV35" s="30"/>
      <c r="JW35" s="30"/>
      <c r="JX35" s="30"/>
      <c r="JY35" s="30"/>
      <c r="JZ35" s="30"/>
      <c r="KA35" s="30"/>
      <c r="KB35" s="30"/>
      <c r="KC35" s="30"/>
      <c r="KD35" s="30"/>
      <c r="KE35" s="30"/>
      <c r="KF35" s="30"/>
      <c r="KG35" s="30"/>
      <c r="KH35" s="30"/>
      <c r="KI35" s="30"/>
      <c r="KJ35" s="30"/>
      <c r="KK35" s="30"/>
      <c r="KL35" s="30"/>
      <c r="KM35" s="30"/>
      <c r="KN35" s="30"/>
      <c r="KO35" s="30"/>
      <c r="KP35" s="30"/>
      <c r="KQ35" s="30"/>
      <c r="KR35" s="30"/>
      <c r="KS35" s="30"/>
    </row>
    <row r="36" spans="1:305" ht="12" customHeight="1" x14ac:dyDescent="0.35">
      <c r="A36" s="14"/>
      <c r="B36" s="16" t="s">
        <v>336</v>
      </c>
      <c r="C36" s="17" t="s">
        <v>34</v>
      </c>
      <c r="D36" s="14"/>
      <c r="E36" s="17" t="s">
        <v>35</v>
      </c>
      <c r="F36" s="18">
        <v>0.65142798868417695</v>
      </c>
      <c r="G36" s="19"/>
      <c r="H36" s="19"/>
      <c r="I36" s="19"/>
      <c r="J36" s="19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  <c r="CW36" s="14"/>
      <c r="CX36" s="14"/>
      <c r="CY36" s="14"/>
      <c r="CZ36" s="14"/>
      <c r="DA36" s="14"/>
      <c r="DB36" s="14"/>
      <c r="DC36" s="14"/>
      <c r="DD36" s="14"/>
      <c r="DE36" s="14"/>
      <c r="DF36" s="14"/>
      <c r="DG36" s="14"/>
      <c r="DH36" s="14"/>
      <c r="DI36" s="14"/>
      <c r="DJ36" s="14"/>
      <c r="DK36" s="14"/>
      <c r="DL36" s="14"/>
      <c r="DM36" s="14"/>
      <c r="DN36" s="14"/>
      <c r="DO36" s="14"/>
      <c r="DP36" s="14"/>
      <c r="DQ36" s="14"/>
      <c r="DR36" s="14"/>
      <c r="DS36" s="14"/>
      <c r="DT36" s="14"/>
      <c r="DU36" s="14"/>
      <c r="DV36" s="14"/>
      <c r="DW36" s="14"/>
      <c r="DX36" s="14"/>
      <c r="DY36" s="14"/>
      <c r="DZ36" s="14"/>
      <c r="EA36" s="14"/>
      <c r="EB36" s="14"/>
      <c r="EC36" s="14"/>
      <c r="ED36" s="14"/>
      <c r="EE36" s="14"/>
      <c r="EF36" s="14"/>
      <c r="EG36" s="14"/>
      <c r="EH36" s="14"/>
      <c r="EI36" s="14"/>
      <c r="EJ36" s="14"/>
      <c r="EK36" s="14"/>
      <c r="EL36" s="14"/>
      <c r="EM36" s="14"/>
      <c r="EN36" s="14"/>
      <c r="EO36" s="14"/>
      <c r="EP36" s="14"/>
      <c r="EQ36" s="14"/>
      <c r="ER36" s="14"/>
      <c r="ES36" s="14"/>
      <c r="ET36" s="14"/>
      <c r="EU36" s="14"/>
      <c r="EV36" s="14"/>
      <c r="EW36" s="14"/>
      <c r="EX36" s="14"/>
      <c r="EY36" s="14"/>
      <c r="EZ36" s="14"/>
      <c r="FA36" s="14"/>
      <c r="FB36" s="14"/>
      <c r="FC36" s="14"/>
      <c r="FD36" s="14"/>
      <c r="FE36" s="14"/>
      <c r="FF36" s="14"/>
      <c r="FG36" s="14"/>
      <c r="FH36" s="14"/>
      <c r="FI36" s="14"/>
      <c r="FJ36" s="14"/>
      <c r="FK36" s="14"/>
      <c r="FL36" s="14"/>
      <c r="FM36" s="14"/>
      <c r="FN36" s="14"/>
      <c r="FO36" s="14"/>
      <c r="FP36" s="14"/>
      <c r="FQ36" s="14"/>
      <c r="FR36" s="14"/>
      <c r="FS36" s="14"/>
      <c r="FT36" s="14"/>
      <c r="FU36" s="14"/>
      <c r="FV36" s="14"/>
      <c r="FW36" s="14"/>
      <c r="FX36" s="14"/>
      <c r="FY36" s="14"/>
      <c r="FZ36" s="14"/>
      <c r="GA36" s="14"/>
      <c r="GB36" s="14"/>
      <c r="GC36" s="14"/>
      <c r="GD36" s="14"/>
      <c r="GE36" s="14"/>
      <c r="GF36" s="14"/>
      <c r="GG36" s="14"/>
      <c r="GH36" s="14"/>
      <c r="GI36" s="14"/>
      <c r="GJ36" s="14"/>
      <c r="GK36" s="14"/>
      <c r="GL36" s="14"/>
      <c r="GM36" s="14"/>
      <c r="GN36" s="14"/>
      <c r="GO36" s="14"/>
      <c r="GP36" s="14"/>
      <c r="GQ36" s="14"/>
      <c r="GR36" s="14"/>
      <c r="GS36" s="14"/>
      <c r="GT36" s="14"/>
      <c r="GU36" s="14"/>
      <c r="GV36" s="14"/>
      <c r="GW36" s="14"/>
      <c r="GX36" s="14"/>
      <c r="GY36" s="14"/>
      <c r="GZ36" s="14"/>
      <c r="HA36" s="14"/>
      <c r="HB36" s="14"/>
      <c r="HC36" s="14"/>
      <c r="HD36" s="14"/>
      <c r="HE36" s="14"/>
      <c r="HF36" s="14"/>
      <c r="HG36" s="14"/>
      <c r="HH36" s="14"/>
      <c r="HI36" s="14"/>
      <c r="HJ36" s="14"/>
      <c r="HK36" s="14"/>
      <c r="HL36" s="14"/>
      <c r="HM36" s="14"/>
      <c r="HN36" s="14"/>
      <c r="HO36" s="14"/>
      <c r="HP36" s="14"/>
      <c r="HQ36" s="14"/>
      <c r="HR36" s="14"/>
      <c r="HS36" s="14"/>
      <c r="HT36" s="14"/>
      <c r="HU36" s="14"/>
      <c r="HV36" s="14"/>
      <c r="HW36" s="14"/>
      <c r="HX36" s="14"/>
      <c r="HY36" s="14"/>
      <c r="HZ36" s="14"/>
      <c r="IA36" s="14"/>
      <c r="IB36" s="14"/>
      <c r="IC36" s="14"/>
      <c r="ID36" s="14"/>
      <c r="IE36" s="14"/>
      <c r="IF36" s="14"/>
      <c r="IG36" s="14"/>
      <c r="IH36" s="14"/>
      <c r="II36" s="14"/>
      <c r="IJ36" s="14"/>
      <c r="IK36" s="14"/>
      <c r="IL36" s="30"/>
      <c r="IM36" s="30"/>
      <c r="IN36" s="30"/>
      <c r="IO36" s="30"/>
      <c r="IP36" s="30"/>
      <c r="IQ36" s="30"/>
      <c r="IR36" s="30"/>
      <c r="IS36" s="30"/>
      <c r="IT36" s="30"/>
      <c r="IU36" s="30"/>
      <c r="IV36" s="30"/>
      <c r="IW36" s="30"/>
      <c r="IX36" s="30"/>
      <c r="IY36" s="30"/>
      <c r="IZ36" s="30"/>
      <c r="JA36" s="30"/>
      <c r="JB36" s="30"/>
      <c r="JC36" s="30"/>
      <c r="JD36" s="30"/>
      <c r="JE36" s="30"/>
      <c r="JF36" s="30"/>
      <c r="JG36" s="30"/>
      <c r="JH36" s="30"/>
      <c r="JI36" s="30"/>
      <c r="JJ36" s="30"/>
      <c r="JK36" s="30"/>
      <c r="JL36" s="30"/>
      <c r="JM36" s="30"/>
      <c r="JN36" s="30"/>
      <c r="JO36" s="30"/>
      <c r="JP36" s="30"/>
      <c r="JQ36" s="30"/>
      <c r="JR36" s="30"/>
      <c r="JS36" s="30"/>
      <c r="JT36" s="30"/>
      <c r="JU36" s="30"/>
      <c r="JV36" s="30"/>
      <c r="JW36" s="30"/>
      <c r="JX36" s="30"/>
      <c r="JY36" s="30"/>
      <c r="JZ36" s="30"/>
      <c r="KA36" s="30"/>
      <c r="KB36" s="30"/>
      <c r="KC36" s="30"/>
      <c r="KD36" s="30"/>
      <c r="KE36" s="30"/>
      <c r="KF36" s="30"/>
      <c r="KG36" s="30"/>
      <c r="KH36" s="30"/>
      <c r="KI36" s="30"/>
      <c r="KJ36" s="30"/>
      <c r="KK36" s="30"/>
      <c r="KL36" s="30"/>
      <c r="KM36" s="30"/>
      <c r="KN36" s="30"/>
      <c r="KO36" s="30"/>
      <c r="KP36" s="30"/>
      <c r="KQ36" s="30"/>
      <c r="KR36" s="30"/>
      <c r="KS36" s="30"/>
    </row>
    <row r="37" spans="1:305" ht="12" customHeight="1" x14ac:dyDescent="0.35">
      <c r="A37" s="14"/>
      <c r="B37" s="14"/>
      <c r="C37" s="14"/>
      <c r="D37" s="14"/>
      <c r="E37" s="20" t="s">
        <v>18</v>
      </c>
      <c r="F37" s="21" t="s">
        <v>36</v>
      </c>
      <c r="G37" s="21" t="s">
        <v>37</v>
      </c>
      <c r="H37" s="21" t="s">
        <v>38</v>
      </c>
      <c r="I37" s="21" t="s">
        <v>39</v>
      </c>
      <c r="J37" s="21" t="s">
        <v>40</v>
      </c>
      <c r="K37" s="21" t="s">
        <v>41</v>
      </c>
      <c r="L37" s="21" t="s">
        <v>42</v>
      </c>
      <c r="M37" s="21" t="s">
        <v>43</v>
      </c>
      <c r="N37" s="21" t="s">
        <v>44</v>
      </c>
      <c r="O37" s="21" t="s">
        <v>45</v>
      </c>
      <c r="P37" s="21" t="s">
        <v>46</v>
      </c>
      <c r="Q37" s="21" t="s">
        <v>47</v>
      </c>
      <c r="R37" s="21" t="s">
        <v>48</v>
      </c>
      <c r="S37" s="21" t="s">
        <v>49</v>
      </c>
      <c r="T37" s="21" t="s">
        <v>50</v>
      </c>
      <c r="U37" s="21" t="s">
        <v>51</v>
      </c>
      <c r="V37" s="21" t="s">
        <v>52</v>
      </c>
      <c r="W37" s="21" t="s">
        <v>53</v>
      </c>
      <c r="X37" s="21" t="s">
        <v>54</v>
      </c>
      <c r="Y37" s="21" t="s">
        <v>55</v>
      </c>
      <c r="Z37" s="21" t="s">
        <v>56</v>
      </c>
      <c r="AA37" s="21" t="s">
        <v>57</v>
      </c>
      <c r="AB37" s="21" t="s">
        <v>58</v>
      </c>
      <c r="AC37" s="21" t="s">
        <v>59</v>
      </c>
      <c r="AD37" s="22" t="s">
        <v>60</v>
      </c>
      <c r="AE37" s="22" t="s">
        <v>61</v>
      </c>
      <c r="AF37" s="22" t="s">
        <v>62</v>
      </c>
      <c r="AG37" s="22" t="s">
        <v>63</v>
      </c>
      <c r="AH37" s="22" t="s">
        <v>64</v>
      </c>
      <c r="AI37" s="22" t="s">
        <v>65</v>
      </c>
      <c r="AJ37" s="22" t="s">
        <v>66</v>
      </c>
      <c r="AK37" s="22" t="s">
        <v>67</v>
      </c>
      <c r="AL37" s="22" t="s">
        <v>68</v>
      </c>
      <c r="AM37" s="22" t="s">
        <v>69</v>
      </c>
      <c r="AN37" s="22" t="s">
        <v>70</v>
      </c>
      <c r="AO37" s="22" t="s">
        <v>71</v>
      </c>
      <c r="AP37" s="22" t="s">
        <v>72</v>
      </c>
      <c r="AQ37" s="22" t="s">
        <v>73</v>
      </c>
      <c r="AR37" s="22" t="s">
        <v>74</v>
      </c>
      <c r="AS37" s="22" t="s">
        <v>75</v>
      </c>
      <c r="AT37" s="22" t="s">
        <v>76</v>
      </c>
      <c r="AU37" s="22" t="s">
        <v>77</v>
      </c>
      <c r="AV37" s="22" t="s">
        <v>78</v>
      </c>
      <c r="AW37" s="22" t="s">
        <v>79</v>
      </c>
      <c r="AX37" s="22" t="s">
        <v>80</v>
      </c>
      <c r="AY37" s="22" t="s">
        <v>81</v>
      </c>
      <c r="AZ37" s="22" t="s">
        <v>82</v>
      </c>
      <c r="BA37" s="22" t="s">
        <v>83</v>
      </c>
      <c r="BB37" s="22" t="s">
        <v>84</v>
      </c>
      <c r="BC37" s="22" t="s">
        <v>85</v>
      </c>
      <c r="BD37" s="22" t="s">
        <v>86</v>
      </c>
      <c r="BE37" s="22" t="s">
        <v>87</v>
      </c>
      <c r="BF37" s="22" t="s">
        <v>88</v>
      </c>
      <c r="BG37" s="22" t="s">
        <v>89</v>
      </c>
      <c r="BH37" s="22" t="s">
        <v>90</v>
      </c>
      <c r="BI37" s="22" t="s">
        <v>91</v>
      </c>
      <c r="BJ37" s="22" t="s">
        <v>92</v>
      </c>
      <c r="BK37" s="22" t="s">
        <v>93</v>
      </c>
      <c r="BL37" s="22" t="s">
        <v>94</v>
      </c>
      <c r="BM37" s="22" t="s">
        <v>95</v>
      </c>
      <c r="BN37" s="22" t="s">
        <v>96</v>
      </c>
      <c r="BO37" s="22" t="s">
        <v>97</v>
      </c>
      <c r="BP37" s="22" t="s">
        <v>98</v>
      </c>
      <c r="BQ37" s="22" t="s">
        <v>99</v>
      </c>
      <c r="BR37" s="22" t="s">
        <v>100</v>
      </c>
      <c r="BS37" s="22" t="s">
        <v>101</v>
      </c>
      <c r="BT37" s="22" t="s">
        <v>102</v>
      </c>
      <c r="BU37" s="22" t="s">
        <v>103</v>
      </c>
      <c r="BV37" s="22" t="s">
        <v>104</v>
      </c>
      <c r="BW37" s="22" t="s">
        <v>105</v>
      </c>
      <c r="BX37" s="22" t="s">
        <v>106</v>
      </c>
      <c r="BY37" s="22" t="s">
        <v>107</v>
      </c>
      <c r="BZ37" s="22" t="s">
        <v>108</v>
      </c>
      <c r="CA37" s="22" t="s">
        <v>109</v>
      </c>
      <c r="CB37" s="22" t="s">
        <v>110</v>
      </c>
      <c r="CC37" s="22" t="s">
        <v>111</v>
      </c>
      <c r="CD37" s="22" t="s">
        <v>112</v>
      </c>
      <c r="CE37" s="22" t="s">
        <v>113</v>
      </c>
      <c r="CF37" s="22" t="s">
        <v>114</v>
      </c>
      <c r="CG37" s="22" t="s">
        <v>115</v>
      </c>
      <c r="CH37" s="22" t="s">
        <v>116</v>
      </c>
      <c r="CI37" s="22" t="s">
        <v>117</v>
      </c>
      <c r="CJ37" s="22" t="s">
        <v>118</v>
      </c>
      <c r="CK37" s="22" t="s">
        <v>119</v>
      </c>
      <c r="CL37" s="22" t="s">
        <v>120</v>
      </c>
      <c r="CM37" s="22" t="s">
        <v>121</v>
      </c>
      <c r="CN37" s="22" t="s">
        <v>122</v>
      </c>
      <c r="CO37" s="22" t="s">
        <v>123</v>
      </c>
      <c r="CP37" s="22" t="s">
        <v>124</v>
      </c>
      <c r="CQ37" s="22" t="s">
        <v>125</v>
      </c>
      <c r="CR37" s="22" t="s">
        <v>126</v>
      </c>
      <c r="CS37" s="22" t="s">
        <v>127</v>
      </c>
      <c r="CT37" s="22" t="s">
        <v>128</v>
      </c>
      <c r="CU37" s="22" t="s">
        <v>129</v>
      </c>
      <c r="CV37" s="22" t="s">
        <v>130</v>
      </c>
      <c r="CW37" s="22" t="s">
        <v>131</v>
      </c>
      <c r="CX37" s="22" t="s">
        <v>132</v>
      </c>
      <c r="CY37" s="22" t="s">
        <v>133</v>
      </c>
      <c r="CZ37" s="22" t="s">
        <v>134</v>
      </c>
      <c r="DA37" s="22" t="s">
        <v>135</v>
      </c>
      <c r="DB37" s="22" t="s">
        <v>136</v>
      </c>
      <c r="DC37" s="22" t="s">
        <v>137</v>
      </c>
      <c r="DD37" s="22" t="s">
        <v>138</v>
      </c>
      <c r="DE37" s="22" t="s">
        <v>139</v>
      </c>
      <c r="DF37" s="22" t="s">
        <v>140</v>
      </c>
      <c r="DG37" s="22" t="s">
        <v>141</v>
      </c>
      <c r="DH37" s="22" t="s">
        <v>142</v>
      </c>
      <c r="DI37" s="22" t="s">
        <v>143</v>
      </c>
      <c r="DJ37" s="22" t="s">
        <v>144</v>
      </c>
      <c r="DK37" s="22" t="s">
        <v>145</v>
      </c>
      <c r="DL37" s="22" t="s">
        <v>146</v>
      </c>
      <c r="DM37" s="22" t="s">
        <v>147</v>
      </c>
      <c r="DN37" s="22" t="s">
        <v>148</v>
      </c>
      <c r="DO37" s="22" t="s">
        <v>149</v>
      </c>
      <c r="DP37" s="22" t="s">
        <v>150</v>
      </c>
      <c r="DQ37" s="22" t="s">
        <v>151</v>
      </c>
      <c r="DR37" s="22" t="s">
        <v>152</v>
      </c>
      <c r="DS37" s="22" t="s">
        <v>153</v>
      </c>
      <c r="DT37" s="22" t="s">
        <v>154</v>
      </c>
      <c r="DU37" s="22" t="s">
        <v>155</v>
      </c>
      <c r="DV37" s="22" t="s">
        <v>156</v>
      </c>
      <c r="DW37" s="22" t="s">
        <v>157</v>
      </c>
      <c r="DX37" s="22" t="s">
        <v>158</v>
      </c>
      <c r="DY37" s="22" t="s">
        <v>159</v>
      </c>
      <c r="DZ37" s="22" t="s">
        <v>160</v>
      </c>
      <c r="EA37" s="22" t="s">
        <v>161</v>
      </c>
      <c r="EB37" s="22" t="s">
        <v>162</v>
      </c>
      <c r="EC37" s="22" t="s">
        <v>163</v>
      </c>
      <c r="ED37" s="22" t="s">
        <v>164</v>
      </c>
      <c r="EE37" s="22" t="s">
        <v>165</v>
      </c>
      <c r="EF37" s="22" t="s">
        <v>166</v>
      </c>
      <c r="EG37" s="22" t="s">
        <v>167</v>
      </c>
      <c r="EH37" s="22" t="s">
        <v>168</v>
      </c>
      <c r="EI37" s="22" t="s">
        <v>169</v>
      </c>
      <c r="EJ37" s="22" t="s">
        <v>170</v>
      </c>
      <c r="EK37" s="22" t="s">
        <v>171</v>
      </c>
      <c r="EL37" s="22" t="s">
        <v>172</v>
      </c>
      <c r="EM37" s="22" t="s">
        <v>173</v>
      </c>
      <c r="EN37" s="22" t="s">
        <v>174</v>
      </c>
      <c r="EO37" s="22" t="s">
        <v>175</v>
      </c>
      <c r="EP37" s="22" t="s">
        <v>176</v>
      </c>
      <c r="EQ37" s="22" t="s">
        <v>177</v>
      </c>
      <c r="ER37" s="22" t="s">
        <v>178</v>
      </c>
      <c r="ES37" s="22" t="s">
        <v>179</v>
      </c>
      <c r="ET37" s="22" t="s">
        <v>180</v>
      </c>
      <c r="EU37" s="22" t="s">
        <v>181</v>
      </c>
      <c r="EV37" s="22" t="s">
        <v>182</v>
      </c>
      <c r="EW37" s="22" t="s">
        <v>183</v>
      </c>
      <c r="EX37" s="22" t="s">
        <v>184</v>
      </c>
      <c r="EY37" s="22" t="s">
        <v>185</v>
      </c>
      <c r="EZ37" s="22" t="s">
        <v>186</v>
      </c>
      <c r="FA37" s="22" t="s">
        <v>187</v>
      </c>
      <c r="FB37" s="22" t="s">
        <v>188</v>
      </c>
      <c r="FC37" s="22" t="s">
        <v>189</v>
      </c>
      <c r="FD37" s="22" t="s">
        <v>190</v>
      </c>
      <c r="FE37" s="22" t="s">
        <v>191</v>
      </c>
      <c r="FF37" s="23" t="s">
        <v>192</v>
      </c>
      <c r="FG37" s="23" t="s">
        <v>193</v>
      </c>
      <c r="FH37" s="23" t="s">
        <v>194</v>
      </c>
      <c r="FI37" s="23" t="s">
        <v>195</v>
      </c>
      <c r="FJ37" s="23" t="s">
        <v>196</v>
      </c>
      <c r="FK37" s="23" t="s">
        <v>197</v>
      </c>
      <c r="FL37" s="23" t="s">
        <v>198</v>
      </c>
      <c r="FM37" s="23" t="s">
        <v>199</v>
      </c>
      <c r="FN37" s="23" t="s">
        <v>200</v>
      </c>
      <c r="FO37" s="23" t="s">
        <v>201</v>
      </c>
      <c r="FP37" s="23" t="s">
        <v>202</v>
      </c>
      <c r="FQ37" s="23" t="s">
        <v>203</v>
      </c>
      <c r="FR37" s="23" t="s">
        <v>204</v>
      </c>
      <c r="FS37" s="23" t="s">
        <v>205</v>
      </c>
      <c r="FT37" s="23" t="s">
        <v>206</v>
      </c>
      <c r="FU37" s="23" t="s">
        <v>207</v>
      </c>
      <c r="FV37" s="23" t="s">
        <v>208</v>
      </c>
      <c r="FW37" s="23" t="s">
        <v>209</v>
      </c>
      <c r="FX37" s="23" t="s">
        <v>210</v>
      </c>
      <c r="FY37" s="23" t="s">
        <v>211</v>
      </c>
      <c r="FZ37" s="23" t="s">
        <v>212</v>
      </c>
      <c r="GA37" s="23" t="s">
        <v>213</v>
      </c>
      <c r="GB37" s="23" t="s">
        <v>214</v>
      </c>
      <c r="GC37" s="23" t="s">
        <v>215</v>
      </c>
      <c r="GD37" s="23" t="s">
        <v>216</v>
      </c>
      <c r="GE37" s="23" t="s">
        <v>217</v>
      </c>
      <c r="GF37" s="23" t="s">
        <v>218</v>
      </c>
      <c r="GG37" s="23" t="s">
        <v>219</v>
      </c>
      <c r="GH37" s="23" t="s">
        <v>220</v>
      </c>
      <c r="GI37" s="23" t="s">
        <v>221</v>
      </c>
      <c r="GJ37" s="23" t="s">
        <v>222</v>
      </c>
      <c r="GK37" s="23" t="s">
        <v>223</v>
      </c>
      <c r="GL37" s="23" t="s">
        <v>224</v>
      </c>
      <c r="GM37" s="23" t="s">
        <v>225</v>
      </c>
      <c r="GN37" s="23" t="s">
        <v>226</v>
      </c>
      <c r="GO37" s="23" t="s">
        <v>227</v>
      </c>
      <c r="GP37" s="23" t="s">
        <v>228</v>
      </c>
      <c r="GQ37" s="23" t="s">
        <v>229</v>
      </c>
      <c r="GR37" s="23" t="s">
        <v>230</v>
      </c>
      <c r="GS37" s="23" t="s">
        <v>231</v>
      </c>
      <c r="GT37" s="23" t="s">
        <v>232</v>
      </c>
      <c r="GU37" s="23" t="s">
        <v>233</v>
      </c>
      <c r="GV37" s="23" t="s">
        <v>234</v>
      </c>
      <c r="GW37" s="23" t="s">
        <v>235</v>
      </c>
      <c r="GX37" s="23" t="s">
        <v>236</v>
      </c>
      <c r="GY37" s="23" t="s">
        <v>237</v>
      </c>
      <c r="GZ37" s="23" t="s">
        <v>238</v>
      </c>
      <c r="HA37" s="23" t="s">
        <v>239</v>
      </c>
      <c r="HB37" s="23" t="s">
        <v>240</v>
      </c>
      <c r="HC37" s="23" t="s">
        <v>241</v>
      </c>
      <c r="HD37" s="23" t="s">
        <v>242</v>
      </c>
      <c r="HE37" s="23" t="s">
        <v>243</v>
      </c>
      <c r="HF37" s="23" t="s">
        <v>244</v>
      </c>
      <c r="HG37" s="23" t="s">
        <v>245</v>
      </c>
      <c r="HH37" s="23" t="s">
        <v>246</v>
      </c>
      <c r="HI37" s="23" t="s">
        <v>247</v>
      </c>
      <c r="HJ37" s="23" t="s">
        <v>248</v>
      </c>
      <c r="HK37" s="23" t="s">
        <v>249</v>
      </c>
      <c r="HL37" s="23" t="s">
        <v>250</v>
      </c>
      <c r="HM37" s="23" t="s">
        <v>251</v>
      </c>
      <c r="HN37" s="23" t="s">
        <v>252</v>
      </c>
      <c r="HO37" s="23" t="s">
        <v>253</v>
      </c>
      <c r="HP37" s="23" t="s">
        <v>254</v>
      </c>
      <c r="HQ37" s="23" t="s">
        <v>255</v>
      </c>
      <c r="HR37" s="23" t="s">
        <v>256</v>
      </c>
      <c r="HS37" s="23" t="s">
        <v>257</v>
      </c>
      <c r="HT37" s="23" t="s">
        <v>258</v>
      </c>
      <c r="HU37" s="23" t="s">
        <v>259</v>
      </c>
      <c r="HV37" s="23" t="s">
        <v>260</v>
      </c>
      <c r="HW37" s="23" t="s">
        <v>261</v>
      </c>
      <c r="HX37" s="23" t="s">
        <v>262</v>
      </c>
      <c r="HY37" s="23" t="s">
        <v>263</v>
      </c>
      <c r="HZ37" s="23" t="s">
        <v>264</v>
      </c>
      <c r="IA37" s="23" t="s">
        <v>265</v>
      </c>
      <c r="IB37" s="23" t="s">
        <v>266</v>
      </c>
      <c r="IC37" s="23" t="s">
        <v>267</v>
      </c>
      <c r="ID37" s="23" t="s">
        <v>268</v>
      </c>
      <c r="IE37" s="23" t="s">
        <v>269</v>
      </c>
      <c r="IF37" s="23" t="s">
        <v>270</v>
      </c>
      <c r="IG37" s="23" t="s">
        <v>271</v>
      </c>
      <c r="IH37" s="23" t="s">
        <v>272</v>
      </c>
      <c r="II37" s="23" t="s">
        <v>273</v>
      </c>
      <c r="IJ37" s="23" t="s">
        <v>274</v>
      </c>
      <c r="IK37" s="23" t="s">
        <v>275</v>
      </c>
      <c r="IL37" s="27"/>
      <c r="IM37" s="27"/>
      <c r="IN37" s="27"/>
      <c r="IO37" s="27"/>
      <c r="IP37" s="27"/>
      <c r="IQ37" s="27"/>
      <c r="IR37" s="27"/>
      <c r="IS37" s="27"/>
      <c r="IT37" s="27"/>
      <c r="IU37" s="27"/>
      <c r="IV37" s="27"/>
      <c r="IW37" s="27"/>
      <c r="IX37" s="27"/>
      <c r="IY37" s="27"/>
      <c r="IZ37" s="27"/>
      <c r="JA37" s="27"/>
      <c r="JB37" s="27"/>
      <c r="JC37" s="27"/>
      <c r="JD37" s="27"/>
      <c r="JE37" s="27"/>
      <c r="JF37" s="27"/>
      <c r="JG37" s="27"/>
      <c r="JH37" s="27"/>
      <c r="JI37" s="27"/>
      <c r="JJ37" s="27"/>
      <c r="JK37" s="27"/>
      <c r="JL37" s="27"/>
      <c r="JM37" s="27"/>
      <c r="JN37" s="27"/>
      <c r="JO37" s="27"/>
      <c r="JP37" s="27"/>
      <c r="JQ37" s="27"/>
      <c r="JR37" s="27"/>
      <c r="JS37" s="27"/>
      <c r="JT37" s="27"/>
      <c r="JU37" s="27"/>
      <c r="JV37" s="27"/>
      <c r="JW37" s="27"/>
      <c r="JX37" s="27"/>
      <c r="JY37" s="27"/>
      <c r="JZ37" s="27"/>
      <c r="KA37" s="27"/>
      <c r="KB37" s="27"/>
      <c r="KC37" s="27"/>
      <c r="KD37" s="27"/>
      <c r="KE37" s="27"/>
      <c r="KF37" s="27"/>
      <c r="KG37" s="27"/>
      <c r="KH37" s="27"/>
      <c r="KI37" s="27"/>
      <c r="KJ37" s="27"/>
      <c r="KK37" s="27"/>
      <c r="KL37" s="27"/>
      <c r="KM37" s="27"/>
      <c r="KN37" s="27"/>
      <c r="KO37" s="27"/>
      <c r="KP37" s="27"/>
      <c r="KQ37" s="27"/>
      <c r="KR37" s="27"/>
      <c r="KS37" s="27"/>
    </row>
    <row r="38" spans="1:305" ht="12" customHeight="1" x14ac:dyDescent="0.35">
      <c r="A38" s="14"/>
      <c r="B38" s="14"/>
      <c r="C38" s="14"/>
      <c r="D38" s="14"/>
      <c r="E38" s="14"/>
      <c r="F38" s="35">
        <v>1</v>
      </c>
      <c r="G38" s="36">
        <v>0.91063880336683423</v>
      </c>
      <c r="H38" s="36">
        <v>0.82127760673366845</v>
      </c>
      <c r="I38" s="36">
        <v>0.73191641010050268</v>
      </c>
      <c r="J38" s="36">
        <v>0.64255521346733691</v>
      </c>
      <c r="K38" s="36">
        <v>0.55319401683417113</v>
      </c>
      <c r="L38" s="36">
        <v>0.4638328202010053</v>
      </c>
      <c r="M38" s="36">
        <v>0.37447162356783947</v>
      </c>
      <c r="N38" s="36">
        <v>0.28511042693467364</v>
      </c>
      <c r="O38" s="36">
        <v>0.19574923030150781</v>
      </c>
      <c r="P38" s="36">
        <v>0.10638803366834199</v>
      </c>
      <c r="Q38" s="36">
        <v>1.7026837035176157E-2</v>
      </c>
      <c r="R38" s="36">
        <v>1.5632093380530031E-2</v>
      </c>
      <c r="S38" s="36">
        <v>1.4237349725883903E-2</v>
      </c>
      <c r="T38" s="36">
        <v>1.2842606071237776E-2</v>
      </c>
      <c r="U38" s="36">
        <v>1.1447862416591648E-2</v>
      </c>
      <c r="V38" s="36">
        <v>1.005311876194552E-2</v>
      </c>
      <c r="W38" s="36">
        <v>8.6583751072993927E-3</v>
      </c>
      <c r="X38" s="36">
        <v>7.263631452653266E-3</v>
      </c>
      <c r="Y38" s="36">
        <v>5.8688877980071393E-3</v>
      </c>
      <c r="Z38" s="36">
        <v>4.4741441433610125E-3</v>
      </c>
      <c r="AA38" s="36">
        <v>3.0794004887148858E-3</v>
      </c>
      <c r="AB38" s="36">
        <v>1.6846568340687588E-3</v>
      </c>
      <c r="AC38" s="36">
        <v>2.8991317942263185E-4</v>
      </c>
      <c r="AD38" s="28">
        <v>2.6616510650912651E-4</v>
      </c>
      <c r="AE38" s="28">
        <v>2.4241703359562116E-4</v>
      </c>
      <c r="AF38" s="28">
        <v>2.1866896068211582E-4</v>
      </c>
      <c r="AG38" s="28">
        <v>1.9492088776861048E-4</v>
      </c>
      <c r="AH38" s="28">
        <v>1.7117281485510514E-4</v>
      </c>
      <c r="AI38" s="28">
        <v>1.474247419415998E-4</v>
      </c>
      <c r="AJ38" s="28">
        <v>1.2367666902809445E-4</v>
      </c>
      <c r="AK38" s="28">
        <v>9.9928596114589097E-5</v>
      </c>
      <c r="AL38" s="28">
        <v>7.6180523201083741E-5</v>
      </c>
      <c r="AM38" s="28">
        <v>5.2432450287578385E-5</v>
      </c>
      <c r="AN38" s="28">
        <v>2.8684377374073029E-5</v>
      </c>
      <c r="AO38" s="28">
        <v>4.9363044605676732E-6</v>
      </c>
      <c r="AP38" s="28">
        <v>4.5319498931699413E-6</v>
      </c>
      <c r="AQ38" s="28">
        <v>4.1275953257722094E-6</v>
      </c>
      <c r="AR38" s="28">
        <v>3.7232407583744775E-6</v>
      </c>
      <c r="AS38" s="28">
        <v>3.3188861909767457E-6</v>
      </c>
      <c r="AT38" s="28">
        <v>2.9145316235790138E-6</v>
      </c>
      <c r="AU38" s="28">
        <v>2.5101770561812819E-6</v>
      </c>
      <c r="AV38" s="28">
        <v>2.10582248878355E-6</v>
      </c>
      <c r="AW38" s="28">
        <v>1.7014679213858179E-6</v>
      </c>
      <c r="AX38" s="28">
        <v>1.2971133539880858E-6</v>
      </c>
      <c r="AY38" s="28">
        <v>8.9275878659035375E-7</v>
      </c>
      <c r="AZ38" s="28">
        <v>4.8840421919262166E-7</v>
      </c>
      <c r="BA38" s="28">
        <v>8.4049651794889565E-8</v>
      </c>
      <c r="BB38" s="28">
        <v>7.7164772471379298E-8</v>
      </c>
      <c r="BC38" s="28">
        <v>7.027989314786903E-8</v>
      </c>
      <c r="BD38" s="28">
        <v>6.3395013824358762E-8</v>
      </c>
      <c r="BE38" s="28">
        <v>5.6510134500848501E-8</v>
      </c>
      <c r="BF38" s="28">
        <v>4.962525517733824E-8</v>
      </c>
      <c r="BG38" s="28">
        <v>4.2740375853827979E-8</v>
      </c>
      <c r="BH38" s="28">
        <v>3.5855496530317718E-8</v>
      </c>
      <c r="BI38" s="28">
        <v>2.8970617206807457E-8</v>
      </c>
      <c r="BJ38" s="28">
        <v>2.2085737883297196E-8</v>
      </c>
      <c r="BK38" s="28">
        <v>1.5200858559786935E-8</v>
      </c>
      <c r="BL38" s="28">
        <v>8.3159792362766739E-9</v>
      </c>
      <c r="BM38" s="28">
        <v>1.431099912766412E-9</v>
      </c>
      <c r="BN38" s="28">
        <v>1.3138721945181502E-9</v>
      </c>
      <c r="BO38" s="28">
        <v>1.1966444762698884E-9</v>
      </c>
      <c r="BP38" s="28">
        <v>1.0794167580216266E-9</v>
      </c>
      <c r="BQ38" s="28">
        <v>9.6218903977336474E-10</v>
      </c>
      <c r="BR38" s="28">
        <v>8.4496132152510291E-10</v>
      </c>
      <c r="BS38" s="28">
        <v>7.2773360327684109E-10</v>
      </c>
      <c r="BT38" s="28">
        <v>6.1050588502857926E-10</v>
      </c>
      <c r="BU38" s="28">
        <v>4.9327816678031743E-10</v>
      </c>
      <c r="BV38" s="28">
        <v>3.7605044853205561E-10</v>
      </c>
      <c r="BW38" s="28">
        <v>2.5882273028379378E-10</v>
      </c>
      <c r="BX38" s="28">
        <v>1.4159501203553198E-10</v>
      </c>
      <c r="BY38" s="28">
        <v>2.4367293787270179E-11</v>
      </c>
      <c r="BZ38" s="28">
        <v>2.23712765326515E-11</v>
      </c>
      <c r="CA38" s="28">
        <v>2.0375259278032822E-11</v>
      </c>
      <c r="CB38" s="28">
        <v>1.8379242023414143E-11</v>
      </c>
      <c r="CC38" s="28">
        <v>1.6383224768795464E-11</v>
      </c>
      <c r="CD38" s="28">
        <v>1.4387207514176787E-11</v>
      </c>
      <c r="CE38" s="28">
        <v>1.239119025955811E-11</v>
      </c>
      <c r="CF38" s="28">
        <v>1.0395173004939433E-11</v>
      </c>
      <c r="CG38" s="28">
        <v>8.3991557503207557E-12</v>
      </c>
      <c r="CH38" s="28">
        <v>6.4031384957020786E-12</v>
      </c>
      <c r="CI38" s="28">
        <v>4.4071212410834016E-12</v>
      </c>
      <c r="CJ38" s="28">
        <v>2.4111039864647241E-12</v>
      </c>
      <c r="CK38" s="28">
        <v>4.1508673184604657E-13</v>
      </c>
      <c r="CL38" s="28">
        <v>3.8110087133225502E-13</v>
      </c>
      <c r="CM38" s="28">
        <v>3.4711501081846348E-13</v>
      </c>
      <c r="CN38" s="28">
        <v>3.1312915030467193E-13</v>
      </c>
      <c r="CO38" s="28">
        <v>2.7914328979088038E-13</v>
      </c>
      <c r="CP38" s="28">
        <v>2.4515742927708883E-13</v>
      </c>
      <c r="CQ38" s="28">
        <v>2.1117156876329729E-13</v>
      </c>
      <c r="CR38" s="28">
        <v>1.7718570824950574E-13</v>
      </c>
      <c r="CS38" s="28">
        <v>1.4319984773571419E-13</v>
      </c>
      <c r="CT38" s="28">
        <v>1.0921398722192264E-13</v>
      </c>
      <c r="CU38" s="28">
        <v>7.5228126708131097E-14</v>
      </c>
      <c r="CV38" s="28">
        <v>4.1242266194339556E-14</v>
      </c>
      <c r="CW38" s="28">
        <v>7.2564056805480145E-15</v>
      </c>
      <c r="CX38" s="28">
        <v>6.677733972079464E-15</v>
      </c>
      <c r="CY38" s="28">
        <v>6.0990622636109135E-15</v>
      </c>
      <c r="CZ38" s="28">
        <v>5.520390555142363E-15</v>
      </c>
      <c r="DA38" s="28">
        <v>4.9417188466738125E-15</v>
      </c>
      <c r="DB38" s="28">
        <v>4.3630471382052621E-15</v>
      </c>
      <c r="DC38" s="28">
        <v>3.7843754297367116E-15</v>
      </c>
      <c r="DD38" s="28">
        <v>3.2057037212681611E-15</v>
      </c>
      <c r="DE38" s="28">
        <v>2.6270320127996106E-15</v>
      </c>
      <c r="DF38" s="28">
        <v>2.0483603043310601E-15</v>
      </c>
      <c r="DG38" s="28">
        <v>1.4696885958625096E-15</v>
      </c>
      <c r="DH38" s="28">
        <v>8.9101688739395915E-16</v>
      </c>
      <c r="DI38" s="28">
        <v>3.1234517892540876E-16</v>
      </c>
      <c r="DJ38" s="28">
        <v>3.024922300484479E-16</v>
      </c>
      <c r="DK38" s="28">
        <v>2.9263928117148703E-16</v>
      </c>
      <c r="DL38" s="28">
        <v>2.8278633229452616E-16</v>
      </c>
      <c r="DM38" s="28">
        <v>2.729333834175653E-16</v>
      </c>
      <c r="DN38" s="28">
        <v>2.6308043454060443E-16</v>
      </c>
      <c r="DO38" s="28">
        <v>2.5322748566364357E-16</v>
      </c>
      <c r="DP38" s="28">
        <v>2.433745367866827E-16</v>
      </c>
      <c r="DQ38" s="28">
        <v>2.3352158790972184E-16</v>
      </c>
      <c r="DR38" s="28">
        <v>2.2366863903276097E-16</v>
      </c>
      <c r="DS38" s="28">
        <v>2.1381569015580011E-16</v>
      </c>
      <c r="DT38" s="28">
        <v>2.0396274127883924E-16</v>
      </c>
      <c r="DU38" s="28">
        <v>1.9410979240187838E-16</v>
      </c>
      <c r="DV38" s="28">
        <v>1.9394202784703444E-16</v>
      </c>
      <c r="DW38" s="28">
        <v>1.937742632921905E-16</v>
      </c>
      <c r="DX38" s="28">
        <v>1.9360649873734657E-16</v>
      </c>
      <c r="DY38" s="28">
        <v>1.9343873418250263E-16</v>
      </c>
      <c r="DZ38" s="28">
        <v>1.9327096962765869E-16</v>
      </c>
      <c r="EA38" s="28">
        <v>1.9310320507281476E-16</v>
      </c>
      <c r="EB38" s="28">
        <v>1.9293544051797082E-16</v>
      </c>
      <c r="EC38" s="28">
        <v>1.9276767596312689E-16</v>
      </c>
      <c r="ED38" s="28">
        <v>1.9259991140828295E-16</v>
      </c>
      <c r="EE38" s="28">
        <v>1.9243214685343901E-16</v>
      </c>
      <c r="EF38" s="28">
        <v>1.9226438229859508E-16</v>
      </c>
      <c r="EG38" s="28">
        <v>1.9209661774375114E-16</v>
      </c>
      <c r="EH38" s="28">
        <v>1.9209376124401552E-16</v>
      </c>
      <c r="EI38" s="28">
        <v>1.9209090474427991E-16</v>
      </c>
      <c r="EJ38" s="28">
        <v>1.9208804824454429E-16</v>
      </c>
      <c r="EK38" s="28">
        <v>1.9208519174480867E-16</v>
      </c>
      <c r="EL38" s="28">
        <v>1.9208233524507306E-16</v>
      </c>
      <c r="EM38" s="28">
        <v>1.9207947874533744E-16</v>
      </c>
      <c r="EN38" s="28">
        <v>1.9207662224560182E-16</v>
      </c>
      <c r="EO38" s="28">
        <v>1.9207376574586621E-16</v>
      </c>
      <c r="EP38" s="28">
        <v>1.9207090924613059E-16</v>
      </c>
      <c r="EQ38" s="28">
        <v>1.9206805274639497E-16</v>
      </c>
      <c r="ER38" s="28">
        <v>1.9206519624665936E-16</v>
      </c>
      <c r="ES38" s="28">
        <v>1.9206233974692374E-16</v>
      </c>
      <c r="ET38" s="28">
        <v>1.9206229110976826E-16</v>
      </c>
      <c r="EU38" s="28">
        <v>1.9206224247261277E-16</v>
      </c>
      <c r="EV38" s="28">
        <v>1.9206219383545729E-16</v>
      </c>
      <c r="EW38" s="28">
        <v>1.920621451983018E-16</v>
      </c>
      <c r="EX38" s="28">
        <v>1.9206209656114632E-16</v>
      </c>
      <c r="EY38" s="28">
        <v>1.9206204792399083E-16</v>
      </c>
      <c r="EZ38" s="28">
        <v>1.9206199928683535E-16</v>
      </c>
      <c r="FA38" s="28">
        <v>1.9206195064967986E-16</v>
      </c>
      <c r="FB38" s="28">
        <v>1.9206190201252438E-16</v>
      </c>
      <c r="FC38" s="28">
        <v>1.9206185337536889E-16</v>
      </c>
      <c r="FD38" s="28">
        <v>1.9206180473821341E-16</v>
      </c>
      <c r="FE38" s="28">
        <v>1.9206175610105792E-16</v>
      </c>
      <c r="FF38" s="28">
        <v>1.9206175527292101E-16</v>
      </c>
      <c r="FG38" s="28">
        <v>1.920617544447841E-16</v>
      </c>
      <c r="FH38" s="28">
        <v>1.9206175361664719E-16</v>
      </c>
      <c r="FI38" s="28">
        <v>1.9206175278851029E-16</v>
      </c>
      <c r="FJ38" s="28">
        <v>1.9206175196037338E-16</v>
      </c>
      <c r="FK38" s="28">
        <v>1.9206175113223647E-16</v>
      </c>
      <c r="FL38" s="28">
        <v>1.9206175030409956E-16</v>
      </c>
      <c r="FM38" s="28">
        <v>1.9206174947596265E-16</v>
      </c>
      <c r="FN38" s="28">
        <v>1.9206174864782574E-16</v>
      </c>
      <c r="FO38" s="28">
        <v>1.9206174781968883E-16</v>
      </c>
      <c r="FP38" s="28">
        <v>1.9206174699155192E-16</v>
      </c>
      <c r="FQ38" s="28">
        <v>1.9206174616341501E-16</v>
      </c>
      <c r="FR38" s="28">
        <v>1.9206174614931447E-16</v>
      </c>
      <c r="FS38" s="28">
        <v>1.9206174613521392E-16</v>
      </c>
      <c r="FT38" s="28">
        <v>1.9206174612111338E-16</v>
      </c>
      <c r="FU38" s="28">
        <v>1.9206174610701284E-16</v>
      </c>
      <c r="FV38" s="28">
        <v>1.9206174609291229E-16</v>
      </c>
      <c r="FW38" s="28">
        <v>1.9206174607881175E-16</v>
      </c>
      <c r="FX38" s="28">
        <v>1.9206174606471121E-16</v>
      </c>
      <c r="FY38" s="28">
        <v>1.9206174605061066E-16</v>
      </c>
      <c r="FZ38" s="28">
        <v>1.9206174603651012E-16</v>
      </c>
      <c r="GA38" s="28">
        <v>1.9206174602240958E-16</v>
      </c>
      <c r="GB38" s="28">
        <v>1.9206174600830903E-16</v>
      </c>
      <c r="GC38" s="28">
        <v>1.9206174599420849E-16</v>
      </c>
      <c r="GD38" s="28">
        <v>1.9206174599415963E-16</v>
      </c>
      <c r="GE38" s="28">
        <v>1.9206174599411077E-16</v>
      </c>
      <c r="GF38" s="28">
        <v>1.9206174599406191E-16</v>
      </c>
      <c r="GG38" s="28">
        <v>1.9206174599401305E-16</v>
      </c>
      <c r="GH38" s="28">
        <v>1.9206174599396419E-16</v>
      </c>
      <c r="GI38" s="28">
        <v>1.9206174599391533E-16</v>
      </c>
      <c r="GJ38" s="28">
        <v>1.9206174599386647E-16</v>
      </c>
      <c r="GK38" s="28">
        <v>1.9206174599381761E-16</v>
      </c>
      <c r="GL38" s="28">
        <v>1.9206174599376875E-16</v>
      </c>
      <c r="GM38" s="28">
        <v>1.9206174599371989E-16</v>
      </c>
      <c r="GN38" s="28">
        <v>1.9206174599367103E-16</v>
      </c>
      <c r="GO38" s="28">
        <v>1.9206174599362217E-16</v>
      </c>
      <c r="GP38" s="28">
        <v>1.9206174599357331E-16</v>
      </c>
      <c r="GQ38" s="28">
        <v>1.9206174599352445E-16</v>
      </c>
      <c r="GR38" s="28">
        <v>1.9206174599347559E-16</v>
      </c>
      <c r="GS38" s="28">
        <v>1.9206174599342673E-16</v>
      </c>
      <c r="GT38" s="28">
        <v>1.9206174599337787E-16</v>
      </c>
      <c r="GU38" s="28">
        <v>1.9206174599332901E-16</v>
      </c>
      <c r="GV38" s="28">
        <v>1.9206174599328015E-16</v>
      </c>
      <c r="GW38" s="28">
        <v>1.9206174599323129E-16</v>
      </c>
      <c r="GX38" s="28">
        <v>1.9206174599318243E-16</v>
      </c>
      <c r="GY38" s="28">
        <v>1.9206174599313357E-16</v>
      </c>
      <c r="GZ38" s="28">
        <v>1.9206174599308471E-16</v>
      </c>
      <c r="HA38" s="28">
        <v>1.9206174599303585E-16</v>
      </c>
      <c r="HB38" s="28">
        <v>1.9206174599298699E-16</v>
      </c>
      <c r="HC38" s="28">
        <v>1.9206174599293813E-16</v>
      </c>
      <c r="HD38" s="28">
        <v>1.9206174599288927E-16</v>
      </c>
      <c r="HE38" s="28">
        <v>1.9206174599284041E-16</v>
      </c>
      <c r="HF38" s="28">
        <v>1.9206174599279155E-16</v>
      </c>
      <c r="HG38" s="28">
        <v>1.9206174599274269E-16</v>
      </c>
      <c r="HH38" s="28">
        <v>1.9206174599269383E-16</v>
      </c>
      <c r="HI38" s="28">
        <v>1.9206174599264497E-16</v>
      </c>
      <c r="HJ38" s="28">
        <v>1.9206174599259611E-16</v>
      </c>
      <c r="HK38" s="28">
        <v>1.9206174599254725E-16</v>
      </c>
      <c r="HL38" s="28">
        <v>1.9206174599249839E-16</v>
      </c>
      <c r="HM38" s="28">
        <v>1.9206174599244953E-16</v>
      </c>
      <c r="HN38" s="28">
        <v>1.9206174599240067E-16</v>
      </c>
      <c r="HO38" s="28">
        <v>1.9206174599235181E-16</v>
      </c>
      <c r="HP38" s="28">
        <v>1.9206174599230295E-16</v>
      </c>
      <c r="HQ38" s="28">
        <v>1.9206174599225409E-16</v>
      </c>
      <c r="HR38" s="28">
        <v>1.9206174599220523E-16</v>
      </c>
      <c r="HS38" s="28">
        <v>1.9206174599215637E-16</v>
      </c>
      <c r="HT38" s="28">
        <v>1.9206174599210751E-16</v>
      </c>
      <c r="HU38" s="28">
        <v>1.9206174599205865E-16</v>
      </c>
      <c r="HV38" s="28">
        <v>1.9206174599200979E-16</v>
      </c>
      <c r="HW38" s="28">
        <v>1.9206174599196093E-16</v>
      </c>
      <c r="HX38" s="28">
        <v>1.9206174599191207E-16</v>
      </c>
      <c r="HY38" s="28">
        <v>1.9206174599186321E-16</v>
      </c>
      <c r="HZ38" s="28">
        <v>1.9206174599181435E-16</v>
      </c>
      <c r="IA38" s="28">
        <v>1.9206174599176549E-16</v>
      </c>
      <c r="IB38" s="28">
        <v>1.9206174599171663E-16</v>
      </c>
      <c r="IC38" s="28">
        <v>1.9206174599166777E-16</v>
      </c>
      <c r="ID38" s="28">
        <v>1.9206174599161891E-16</v>
      </c>
      <c r="IE38" s="28">
        <v>1.9206174599157005E-16</v>
      </c>
      <c r="IF38" s="28">
        <v>1.9206174599152119E-16</v>
      </c>
      <c r="IG38" s="28">
        <v>1.9206174599147232E-16</v>
      </c>
      <c r="IH38" s="28">
        <v>1.9206174599142346E-16</v>
      </c>
      <c r="II38" s="28">
        <v>1.920617459913746E-16</v>
      </c>
      <c r="IJ38" s="28">
        <v>1.9206174599132574E-16</v>
      </c>
      <c r="IK38" s="29">
        <v>0</v>
      </c>
      <c r="IL38" s="30"/>
      <c r="IM38" s="30"/>
      <c r="IN38" s="30"/>
      <c r="IO38" s="30"/>
      <c r="IP38" s="30"/>
      <c r="IQ38" s="30"/>
      <c r="IR38" s="30"/>
      <c r="IS38" s="30"/>
      <c r="IT38" s="30"/>
      <c r="IU38" s="30"/>
      <c r="IV38" s="30"/>
      <c r="IW38" s="30"/>
      <c r="IX38" s="30"/>
      <c r="IY38" s="30"/>
      <c r="IZ38" s="30"/>
      <c r="JA38" s="30"/>
      <c r="JB38" s="30"/>
      <c r="JC38" s="30"/>
      <c r="JD38" s="30"/>
      <c r="JE38" s="30"/>
      <c r="JF38" s="30"/>
      <c r="JG38" s="30"/>
      <c r="JH38" s="30"/>
      <c r="JI38" s="30"/>
      <c r="JJ38" s="30"/>
      <c r="JK38" s="30"/>
      <c r="JL38" s="30"/>
      <c r="JM38" s="30"/>
      <c r="JN38" s="30"/>
      <c r="JO38" s="30"/>
      <c r="JP38" s="30"/>
      <c r="JQ38" s="30"/>
      <c r="JR38" s="30"/>
      <c r="JS38" s="30"/>
      <c r="JT38" s="30"/>
      <c r="JU38" s="30"/>
      <c r="JV38" s="30"/>
      <c r="JW38" s="30"/>
      <c r="JX38" s="30"/>
      <c r="JY38" s="30"/>
      <c r="JZ38" s="30"/>
      <c r="KA38" s="30"/>
      <c r="KB38" s="30"/>
      <c r="KC38" s="30"/>
      <c r="KD38" s="30"/>
      <c r="KE38" s="30"/>
      <c r="KF38" s="30"/>
      <c r="KG38" s="30"/>
      <c r="KH38" s="30"/>
      <c r="KI38" s="30"/>
      <c r="KJ38" s="30"/>
      <c r="KK38" s="30"/>
      <c r="KL38" s="30"/>
      <c r="KM38" s="30"/>
      <c r="KN38" s="30"/>
      <c r="KO38" s="30"/>
      <c r="KP38" s="30"/>
      <c r="KQ38" s="30"/>
      <c r="KR38" s="30"/>
      <c r="KS38" s="30"/>
    </row>
  </sheetData>
  <pageMargins left="0.75" right="0.75" top="1" bottom="1" header="0" footer="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92"/>
  <sheetViews>
    <sheetView showGridLines="0" workbookViewId="0">
      <selection activeCell="E13" sqref="E13"/>
    </sheetView>
  </sheetViews>
  <sheetFormatPr baseColWidth="10" defaultColWidth="14.453125" defaultRowHeight="15" customHeight="1" x14ac:dyDescent="0.35"/>
  <cols>
    <col min="3" max="3" width="15.453125" bestFit="1" customWidth="1"/>
    <col min="4" max="9" width="14.26953125" customWidth="1"/>
  </cols>
  <sheetData>
    <row r="1" spans="1:26" ht="13.5" customHeight="1" x14ac:dyDescent="0.35">
      <c r="A1" s="37"/>
      <c r="B1" s="37"/>
      <c r="C1" s="38" t="s">
        <v>12</v>
      </c>
      <c r="D1" s="39" t="s">
        <v>13</v>
      </c>
      <c r="E1" s="39" t="s">
        <v>13</v>
      </c>
      <c r="F1" s="39" t="s">
        <v>13</v>
      </c>
      <c r="G1" s="39" t="s">
        <v>13</v>
      </c>
      <c r="H1" s="40"/>
      <c r="I1" s="40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40"/>
      <c r="Z1" s="40"/>
    </row>
    <row r="2" spans="1:26" ht="13.5" customHeight="1" x14ac:dyDescent="0.35">
      <c r="A2" s="37"/>
      <c r="B2" s="37"/>
      <c r="C2" s="41" t="s">
        <v>14</v>
      </c>
      <c r="D2" s="42" t="s">
        <v>339</v>
      </c>
      <c r="E2" s="42" t="s">
        <v>339</v>
      </c>
      <c r="F2" s="42" t="s">
        <v>339</v>
      </c>
      <c r="G2" s="42" t="s">
        <v>339</v>
      </c>
      <c r="H2" s="40"/>
      <c r="I2" s="40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40"/>
      <c r="Z2" s="40"/>
    </row>
    <row r="3" spans="1:26" ht="13.5" customHeight="1" x14ac:dyDescent="0.35">
      <c r="A3" s="37"/>
      <c r="B3" s="37"/>
      <c r="C3" s="43"/>
      <c r="D3" s="44" t="s">
        <v>340</v>
      </c>
      <c r="E3" s="44" t="s">
        <v>341</v>
      </c>
      <c r="F3" s="44" t="s">
        <v>342</v>
      </c>
      <c r="G3" s="44" t="s">
        <v>343</v>
      </c>
      <c r="H3" s="40"/>
      <c r="I3" s="40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40"/>
      <c r="Z3" s="40"/>
    </row>
    <row r="4" spans="1:26" ht="13.5" customHeight="1" x14ac:dyDescent="0.35">
      <c r="A4" s="37"/>
      <c r="B4" s="37"/>
      <c r="C4" s="45" t="s">
        <v>421</v>
      </c>
      <c r="D4" s="37" t="s">
        <v>344</v>
      </c>
      <c r="E4" s="37"/>
      <c r="F4" s="37" t="s">
        <v>345</v>
      </c>
      <c r="G4" s="37"/>
      <c r="H4" s="40"/>
      <c r="I4" s="40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40"/>
      <c r="Z4" s="40"/>
    </row>
    <row r="5" spans="1:26" ht="13.5" customHeight="1" x14ac:dyDescent="0.35">
      <c r="A5" s="40"/>
      <c r="B5" s="40"/>
      <c r="C5" s="45" t="s">
        <v>422</v>
      </c>
      <c r="D5" s="37" t="s">
        <v>346</v>
      </c>
      <c r="E5" s="37"/>
      <c r="F5" s="37" t="s">
        <v>347</v>
      </c>
      <c r="G5" s="37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spans="1:26" ht="14.5" x14ac:dyDescent="0.35">
      <c r="A6" s="40"/>
      <c r="B6" s="40"/>
      <c r="C6" s="45" t="s">
        <v>423</v>
      </c>
      <c r="D6" s="37" t="s">
        <v>348</v>
      </c>
      <c r="E6" s="40"/>
      <c r="F6" s="37" t="s">
        <v>349</v>
      </c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spans="1:26" ht="14.5" x14ac:dyDescent="0.35">
      <c r="A7" s="40"/>
      <c r="B7" s="40"/>
      <c r="C7" s="45" t="s">
        <v>424</v>
      </c>
      <c r="D7" s="37" t="s">
        <v>350</v>
      </c>
      <c r="E7" s="40"/>
      <c r="F7" s="37" t="s">
        <v>351</v>
      </c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spans="1:26" ht="14.5" x14ac:dyDescent="0.35">
      <c r="A8" s="40"/>
      <c r="B8" s="40"/>
      <c r="C8" s="46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spans="1:26" ht="12" customHeight="1" x14ac:dyDescent="0.35">
      <c r="A9" s="40"/>
      <c r="B9" s="40"/>
      <c r="C9" s="46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spans="1:26" ht="12" customHeight="1" x14ac:dyDescent="0.35">
      <c r="A10" s="40"/>
      <c r="B10" s="40"/>
      <c r="C10" s="46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spans="1:26" ht="12" customHeight="1" x14ac:dyDescent="0.35">
      <c r="A11" s="40"/>
      <c r="B11" s="40"/>
      <c r="C11" s="46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spans="1:26" ht="12" customHeight="1" x14ac:dyDescent="0.35">
      <c r="A12" s="40"/>
      <c r="B12" s="40"/>
      <c r="C12" s="46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2" customHeight="1" x14ac:dyDescent="0.35">
      <c r="A13" s="40"/>
      <c r="B13" s="40"/>
      <c r="C13" s="46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spans="1:26" ht="12" customHeight="1" x14ac:dyDescent="0.35">
      <c r="A14" s="40"/>
      <c r="B14" s="40"/>
      <c r="C14" s="46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spans="1:26" ht="12" customHeight="1" x14ac:dyDescent="0.35">
      <c r="A15" s="40"/>
      <c r="B15" s="40"/>
      <c r="C15" s="46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spans="1:26" ht="12" customHeight="1" x14ac:dyDescent="0.35">
      <c r="A16" s="40"/>
      <c r="B16" s="40"/>
      <c r="C16" s="46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spans="1:26" ht="12" customHeight="1" x14ac:dyDescent="0.35">
      <c r="A17" s="40"/>
      <c r="B17" s="40"/>
      <c r="C17" s="46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spans="1:26" ht="12" customHeight="1" x14ac:dyDescent="0.35">
      <c r="A18" s="40"/>
      <c r="B18" s="40"/>
      <c r="C18" s="46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spans="1:26" ht="12" customHeight="1" x14ac:dyDescent="0.35">
      <c r="A19" s="40"/>
      <c r="B19" s="40"/>
      <c r="C19" s="46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spans="1:26" ht="12" customHeight="1" x14ac:dyDescent="0.35">
      <c r="A20" s="40"/>
      <c r="B20" s="40"/>
      <c r="C20" s="46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spans="1:26" ht="12" customHeight="1" x14ac:dyDescent="0.35">
      <c r="A21" s="40"/>
      <c r="B21" s="40"/>
      <c r="C21" s="46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spans="1:26" ht="12" customHeight="1" x14ac:dyDescent="0.35">
      <c r="A22" s="40"/>
      <c r="B22" s="40"/>
      <c r="C22" s="46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spans="1:26" ht="12" customHeight="1" x14ac:dyDescent="0.35">
      <c r="A23" s="40"/>
      <c r="B23" s="40"/>
      <c r="C23" s="46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spans="1:26" ht="12" customHeight="1" x14ac:dyDescent="0.35">
      <c r="A24" s="40"/>
      <c r="B24" s="40"/>
      <c r="C24" s="46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spans="1:26" ht="12" customHeight="1" x14ac:dyDescent="0.35">
      <c r="A25" s="40"/>
      <c r="B25" s="40"/>
      <c r="C25" s="46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spans="1:26" ht="12" customHeight="1" x14ac:dyDescent="0.35">
      <c r="A26" s="40"/>
      <c r="B26" s="40"/>
      <c r="C26" s="46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spans="1:26" ht="12" customHeight="1" x14ac:dyDescent="0.35">
      <c r="A27" s="40"/>
      <c r="B27" s="40"/>
      <c r="C27" s="46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spans="1:26" ht="12" customHeight="1" x14ac:dyDescent="0.35">
      <c r="A28" s="40"/>
      <c r="B28" s="40"/>
      <c r="C28" s="46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spans="1:26" ht="12" customHeight="1" x14ac:dyDescent="0.35">
      <c r="A29" s="40"/>
      <c r="B29" s="40"/>
      <c r="C29" s="46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spans="1:26" ht="12" customHeight="1" x14ac:dyDescent="0.35">
      <c r="A30" s="40"/>
      <c r="B30" s="40"/>
      <c r="C30" s="46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spans="1:26" ht="12" customHeight="1" x14ac:dyDescent="0.35">
      <c r="A31" s="40"/>
      <c r="B31" s="40"/>
      <c r="C31" s="46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spans="1:26" ht="12" customHeight="1" x14ac:dyDescent="0.35">
      <c r="A32" s="40"/>
      <c r="B32" s="40"/>
      <c r="C32" s="46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spans="1:26" ht="12" customHeight="1" x14ac:dyDescent="0.35">
      <c r="A33" s="40"/>
      <c r="B33" s="40"/>
      <c r="C33" s="46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spans="1:26" ht="12" customHeight="1" x14ac:dyDescent="0.35">
      <c r="A34" s="40"/>
      <c r="B34" s="40"/>
      <c r="C34" s="46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spans="1:26" ht="12" customHeight="1" x14ac:dyDescent="0.35">
      <c r="A35" s="40"/>
      <c r="B35" s="40"/>
      <c r="C35" s="46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spans="1:26" ht="12" customHeight="1" x14ac:dyDescent="0.35">
      <c r="A36" s="40"/>
      <c r="B36" s="40"/>
      <c r="C36" s="46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spans="1:26" ht="12" customHeight="1" x14ac:dyDescent="0.35">
      <c r="A37" s="40"/>
      <c r="B37" s="40"/>
      <c r="C37" s="46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spans="1:26" ht="12" customHeight="1" x14ac:dyDescent="0.35">
      <c r="A38" s="40"/>
      <c r="B38" s="40"/>
      <c r="C38" s="46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spans="1:26" ht="12" customHeight="1" x14ac:dyDescent="0.35">
      <c r="A39" s="40"/>
      <c r="B39" s="40"/>
      <c r="C39" s="46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6" ht="12" customHeight="1" x14ac:dyDescent="0.35">
      <c r="A40" s="40"/>
      <c r="B40" s="40"/>
      <c r="C40" s="46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spans="1:26" ht="12" customHeight="1" x14ac:dyDescent="0.35">
      <c r="A41" s="40"/>
      <c r="B41" s="40"/>
      <c r="C41" s="46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spans="1:26" ht="12" customHeight="1" x14ac:dyDescent="0.35">
      <c r="A42" s="40"/>
      <c r="B42" s="40"/>
      <c r="C42" s="46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spans="1:26" ht="12" customHeight="1" x14ac:dyDescent="0.35">
      <c r="A43" s="40"/>
      <c r="B43" s="40"/>
      <c r="C43" s="46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spans="1:26" ht="12" customHeight="1" x14ac:dyDescent="0.35">
      <c r="A44" s="40"/>
      <c r="B44" s="40"/>
      <c r="C44" s="46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spans="1:26" ht="12" customHeight="1" x14ac:dyDescent="0.35">
      <c r="A45" s="40"/>
      <c r="B45" s="40"/>
      <c r="C45" s="46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spans="1:26" ht="12" customHeight="1" x14ac:dyDescent="0.35">
      <c r="A46" s="40"/>
      <c r="B46" s="40"/>
      <c r="C46" s="46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spans="1:26" ht="12" customHeight="1" x14ac:dyDescent="0.35">
      <c r="A47" s="40"/>
      <c r="B47" s="40"/>
      <c r="C47" s="46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spans="1:26" ht="12" customHeight="1" x14ac:dyDescent="0.35">
      <c r="A48" s="40"/>
      <c r="B48" s="40"/>
      <c r="C48" s="46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spans="1:26" ht="12" customHeight="1" x14ac:dyDescent="0.35">
      <c r="A49" s="40"/>
      <c r="B49" s="40"/>
      <c r="C49" s="46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spans="1:26" ht="12" customHeight="1" x14ac:dyDescent="0.35">
      <c r="A50" s="40"/>
      <c r="B50" s="40"/>
      <c r="C50" s="46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spans="1:26" ht="12" customHeight="1" x14ac:dyDescent="0.35">
      <c r="A51" s="40"/>
      <c r="B51" s="40"/>
      <c r="C51" s="46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spans="1:26" ht="12" customHeight="1" x14ac:dyDescent="0.35">
      <c r="A52" s="40"/>
      <c r="B52" s="40"/>
      <c r="C52" s="46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spans="1:26" ht="12" customHeight="1" x14ac:dyDescent="0.35">
      <c r="A53" s="40"/>
      <c r="B53" s="40"/>
      <c r="C53" s="46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1:26" ht="12" customHeight="1" x14ac:dyDescent="0.35">
      <c r="A54" s="40"/>
      <c r="B54" s="40"/>
      <c r="C54" s="46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spans="1:26" ht="12" customHeight="1" x14ac:dyDescent="0.35">
      <c r="A55" s="40"/>
      <c r="B55" s="40"/>
      <c r="C55" s="46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spans="1:26" ht="12" customHeight="1" x14ac:dyDescent="0.35">
      <c r="A56" s="40"/>
      <c r="B56" s="40"/>
      <c r="C56" s="46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1:26" ht="12" customHeight="1" x14ac:dyDescent="0.35">
      <c r="A57" s="40"/>
      <c r="B57" s="40"/>
      <c r="C57" s="46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spans="1:26" ht="12" customHeight="1" x14ac:dyDescent="0.35">
      <c r="A58" s="40"/>
      <c r="B58" s="40"/>
      <c r="C58" s="46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1:26" ht="12" customHeight="1" x14ac:dyDescent="0.35">
      <c r="A59" s="40"/>
      <c r="B59" s="40"/>
      <c r="C59" s="46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spans="1:26" ht="12" customHeight="1" x14ac:dyDescent="0.35">
      <c r="A60" s="40"/>
      <c r="B60" s="40"/>
      <c r="C60" s="46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spans="1:26" ht="12" customHeight="1" x14ac:dyDescent="0.35">
      <c r="A61" s="40"/>
      <c r="B61" s="40"/>
      <c r="C61" s="46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spans="1:26" ht="12" customHeight="1" x14ac:dyDescent="0.35">
      <c r="A62" s="40"/>
      <c r="B62" s="40"/>
      <c r="C62" s="46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spans="1:26" ht="12" customHeight="1" x14ac:dyDescent="0.35">
      <c r="A63" s="40"/>
      <c r="B63" s="40"/>
      <c r="C63" s="46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spans="1:26" ht="12" customHeight="1" x14ac:dyDescent="0.35">
      <c r="A64" s="40"/>
      <c r="B64" s="40"/>
      <c r="C64" s="46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spans="1:26" ht="12" customHeight="1" x14ac:dyDescent="0.35">
      <c r="A65" s="40"/>
      <c r="B65" s="40"/>
      <c r="C65" s="46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spans="1:26" ht="12" customHeight="1" x14ac:dyDescent="0.35">
      <c r="A66" s="40"/>
      <c r="B66" s="40"/>
      <c r="C66" s="46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spans="1:26" ht="12" customHeight="1" x14ac:dyDescent="0.35">
      <c r="A67" s="40"/>
      <c r="B67" s="40"/>
      <c r="C67" s="46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spans="1:26" ht="12" customHeight="1" x14ac:dyDescent="0.35">
      <c r="A68" s="40"/>
      <c r="B68" s="40"/>
      <c r="C68" s="46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spans="1:26" ht="12" customHeight="1" x14ac:dyDescent="0.35">
      <c r="A69" s="40"/>
      <c r="B69" s="40"/>
      <c r="C69" s="46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spans="1:26" ht="12" customHeight="1" x14ac:dyDescent="0.35">
      <c r="A70" s="40"/>
      <c r="B70" s="40"/>
      <c r="C70" s="46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spans="1:26" ht="12" customHeight="1" x14ac:dyDescent="0.35">
      <c r="A71" s="40"/>
      <c r="B71" s="40"/>
      <c r="C71" s="46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spans="1:26" ht="12" customHeight="1" x14ac:dyDescent="0.35">
      <c r="A72" s="40"/>
      <c r="B72" s="40"/>
      <c r="C72" s="46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spans="1:26" ht="12" customHeight="1" x14ac:dyDescent="0.35">
      <c r="A73" s="40"/>
      <c r="B73" s="40"/>
      <c r="C73" s="46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spans="1:26" ht="12" customHeight="1" x14ac:dyDescent="0.35">
      <c r="A74" s="40"/>
      <c r="B74" s="40"/>
      <c r="C74" s="46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spans="1:26" ht="12" customHeight="1" x14ac:dyDescent="0.35">
      <c r="A75" s="40"/>
      <c r="B75" s="40"/>
      <c r="C75" s="46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spans="1:26" ht="12" customHeight="1" x14ac:dyDescent="0.35">
      <c r="A76" s="40"/>
      <c r="B76" s="40"/>
      <c r="C76" s="46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spans="1:26" ht="12" customHeight="1" x14ac:dyDescent="0.35">
      <c r="A77" s="40"/>
      <c r="B77" s="40"/>
      <c r="C77" s="46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spans="1:26" ht="12" customHeight="1" x14ac:dyDescent="0.35">
      <c r="A78" s="40"/>
      <c r="B78" s="40"/>
      <c r="C78" s="46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spans="1:26" ht="12" customHeight="1" x14ac:dyDescent="0.35">
      <c r="A79" s="40"/>
      <c r="B79" s="40"/>
      <c r="C79" s="46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spans="1:26" ht="12" customHeight="1" x14ac:dyDescent="0.35">
      <c r="A80" s="40"/>
      <c r="B80" s="40"/>
      <c r="C80" s="46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spans="1:26" ht="12" customHeight="1" x14ac:dyDescent="0.35">
      <c r="A81" s="40"/>
      <c r="B81" s="40"/>
      <c r="C81" s="46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spans="1:26" ht="12" customHeight="1" x14ac:dyDescent="0.35">
      <c r="A82" s="40"/>
      <c r="B82" s="40"/>
      <c r="C82" s="46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spans="1:26" ht="12" customHeight="1" x14ac:dyDescent="0.35">
      <c r="A83" s="40"/>
      <c r="B83" s="40"/>
      <c r="C83" s="46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1:26" ht="12" customHeight="1" x14ac:dyDescent="0.35">
      <c r="A84" s="40"/>
      <c r="B84" s="40"/>
      <c r="C84" s="46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spans="1:26" ht="12" customHeight="1" x14ac:dyDescent="0.35">
      <c r="A85" s="40"/>
      <c r="B85" s="40"/>
      <c r="C85" s="46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1:26" ht="12" customHeight="1" x14ac:dyDescent="0.35">
      <c r="A86" s="40"/>
      <c r="B86" s="40"/>
      <c r="C86" s="46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spans="1:26" ht="12" customHeight="1" x14ac:dyDescent="0.35">
      <c r="A87" s="40"/>
      <c r="B87" s="40"/>
      <c r="C87" s="46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spans="1:26" ht="12" customHeight="1" x14ac:dyDescent="0.35">
      <c r="A88" s="40"/>
      <c r="B88" s="40"/>
      <c r="C88" s="46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spans="1:26" ht="12" customHeight="1" x14ac:dyDescent="0.35">
      <c r="A89" s="40"/>
      <c r="B89" s="40"/>
      <c r="C89" s="46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spans="1:26" ht="12" customHeight="1" x14ac:dyDescent="0.35">
      <c r="A90" s="40"/>
      <c r="B90" s="40"/>
      <c r="C90" s="46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spans="1:26" ht="12" customHeight="1" x14ac:dyDescent="0.35">
      <c r="A91" s="40"/>
      <c r="B91" s="40"/>
      <c r="C91" s="46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spans="1:26" ht="12" customHeight="1" x14ac:dyDescent="0.35">
      <c r="A92" s="40"/>
      <c r="B92" s="40"/>
      <c r="C92" s="46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spans="1:26" ht="12" customHeight="1" x14ac:dyDescent="0.35">
      <c r="A93" s="40"/>
      <c r="B93" s="40"/>
      <c r="C93" s="46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spans="1:26" ht="12" customHeight="1" x14ac:dyDescent="0.35">
      <c r="A94" s="40"/>
      <c r="B94" s="40"/>
      <c r="C94" s="46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spans="1:26" ht="12" customHeight="1" x14ac:dyDescent="0.35">
      <c r="A95" s="40"/>
      <c r="B95" s="40"/>
      <c r="C95" s="46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spans="1:26" ht="12" customHeight="1" x14ac:dyDescent="0.35">
      <c r="A96" s="40"/>
      <c r="B96" s="40"/>
      <c r="C96" s="46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spans="1:26" ht="12" customHeight="1" x14ac:dyDescent="0.35">
      <c r="A97" s="40"/>
      <c r="B97" s="40"/>
      <c r="C97" s="46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spans="1:26" ht="12" customHeight="1" x14ac:dyDescent="0.35">
      <c r="A98" s="40"/>
      <c r="B98" s="40"/>
      <c r="C98" s="46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spans="1:26" ht="12" customHeight="1" x14ac:dyDescent="0.35">
      <c r="A99" s="40"/>
      <c r="B99" s="40"/>
      <c r="C99" s="46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spans="1:26" ht="12" customHeight="1" x14ac:dyDescent="0.35">
      <c r="A100" s="40"/>
      <c r="B100" s="40"/>
      <c r="C100" s="46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spans="1:26" ht="12" customHeight="1" x14ac:dyDescent="0.35">
      <c r="A101" s="40"/>
      <c r="B101" s="40"/>
      <c r="C101" s="46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spans="1:26" ht="12" customHeight="1" x14ac:dyDescent="0.35">
      <c r="A102" s="40"/>
      <c r="B102" s="40"/>
      <c r="C102" s="46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spans="1:26" ht="12" customHeight="1" x14ac:dyDescent="0.35">
      <c r="A103" s="40"/>
      <c r="B103" s="40"/>
      <c r="C103" s="46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spans="1:26" ht="12" customHeight="1" x14ac:dyDescent="0.35">
      <c r="A104" s="40"/>
      <c r="B104" s="40"/>
      <c r="C104" s="46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spans="1:26" ht="12" customHeight="1" x14ac:dyDescent="0.35">
      <c r="A105" s="40"/>
      <c r="B105" s="40"/>
      <c r="C105" s="46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spans="1:26" ht="12" customHeight="1" x14ac:dyDescent="0.35">
      <c r="A106" s="40"/>
      <c r="B106" s="40"/>
      <c r="C106" s="46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spans="1:26" ht="12" customHeight="1" x14ac:dyDescent="0.35">
      <c r="A107" s="40"/>
      <c r="B107" s="40"/>
      <c r="C107" s="46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spans="1:26" ht="12" customHeight="1" x14ac:dyDescent="0.35">
      <c r="A108" s="40"/>
      <c r="B108" s="40"/>
      <c r="C108" s="46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spans="1:26" ht="12" customHeight="1" x14ac:dyDescent="0.35">
      <c r="A109" s="40"/>
      <c r="B109" s="40"/>
      <c r="C109" s="46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spans="1:26" ht="12" customHeight="1" x14ac:dyDescent="0.35">
      <c r="A110" s="40"/>
      <c r="B110" s="40"/>
      <c r="C110" s="46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spans="1:26" ht="12" customHeight="1" x14ac:dyDescent="0.35">
      <c r="A111" s="40"/>
      <c r="B111" s="40"/>
      <c r="C111" s="46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spans="1:26" ht="12" customHeight="1" x14ac:dyDescent="0.35">
      <c r="A112" s="40"/>
      <c r="B112" s="40"/>
      <c r="C112" s="46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spans="1:26" ht="12" customHeight="1" x14ac:dyDescent="0.35">
      <c r="A113" s="40"/>
      <c r="B113" s="40"/>
      <c r="C113" s="46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spans="1:26" ht="12" customHeight="1" x14ac:dyDescent="0.35">
      <c r="A114" s="40"/>
      <c r="B114" s="40"/>
      <c r="C114" s="46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spans="1:26" ht="12" customHeight="1" x14ac:dyDescent="0.35">
      <c r="A115" s="40"/>
      <c r="B115" s="40"/>
      <c r="C115" s="46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spans="1:26" ht="12" customHeight="1" x14ac:dyDescent="0.35">
      <c r="A116" s="40"/>
      <c r="B116" s="40"/>
      <c r="C116" s="46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spans="1:26" ht="12" customHeight="1" x14ac:dyDescent="0.35">
      <c r="A117" s="40"/>
      <c r="B117" s="40"/>
      <c r="C117" s="46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spans="1:26" ht="12" customHeight="1" x14ac:dyDescent="0.35">
      <c r="A118" s="40"/>
      <c r="B118" s="40"/>
      <c r="C118" s="46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spans="1:26" ht="12" customHeight="1" x14ac:dyDescent="0.35">
      <c r="A119" s="40"/>
      <c r="B119" s="40"/>
      <c r="C119" s="46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spans="1:26" ht="12" customHeight="1" x14ac:dyDescent="0.35">
      <c r="A120" s="40"/>
      <c r="B120" s="40"/>
      <c r="C120" s="46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spans="1:26" ht="12" customHeight="1" x14ac:dyDescent="0.35">
      <c r="A121" s="40"/>
      <c r="B121" s="40"/>
      <c r="C121" s="46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spans="1:26" ht="12" customHeight="1" x14ac:dyDescent="0.35">
      <c r="A122" s="40"/>
      <c r="B122" s="40"/>
      <c r="C122" s="46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spans="1:26" ht="12" customHeight="1" x14ac:dyDescent="0.35">
      <c r="A123" s="40"/>
      <c r="B123" s="40"/>
      <c r="C123" s="46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spans="1:26" ht="12" customHeight="1" x14ac:dyDescent="0.35">
      <c r="A124" s="40"/>
      <c r="B124" s="40"/>
      <c r="C124" s="46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spans="1:26" ht="12" customHeight="1" x14ac:dyDescent="0.35">
      <c r="A125" s="40"/>
      <c r="B125" s="40"/>
      <c r="C125" s="46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spans="1:26" ht="12" customHeight="1" x14ac:dyDescent="0.35">
      <c r="A126" s="40"/>
      <c r="B126" s="40"/>
      <c r="C126" s="46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spans="1:26" ht="12" customHeight="1" x14ac:dyDescent="0.35">
      <c r="A127" s="40"/>
      <c r="B127" s="40"/>
      <c r="C127" s="46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spans="1:26" ht="12" customHeight="1" x14ac:dyDescent="0.35">
      <c r="A128" s="40"/>
      <c r="B128" s="40"/>
      <c r="C128" s="46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spans="1:26" ht="12" customHeight="1" x14ac:dyDescent="0.35">
      <c r="A129" s="40"/>
      <c r="B129" s="40"/>
      <c r="C129" s="46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spans="1:26" ht="12" customHeight="1" x14ac:dyDescent="0.35">
      <c r="A130" s="40"/>
      <c r="B130" s="40"/>
      <c r="C130" s="46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spans="1:26" ht="12" customHeight="1" x14ac:dyDescent="0.35">
      <c r="A131" s="40"/>
      <c r="B131" s="40"/>
      <c r="C131" s="46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spans="1:26" ht="12" customHeight="1" x14ac:dyDescent="0.35">
      <c r="A132" s="40"/>
      <c r="B132" s="40"/>
      <c r="C132" s="46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spans="1:26" ht="12" customHeight="1" x14ac:dyDescent="0.35">
      <c r="A133" s="40"/>
      <c r="B133" s="40"/>
      <c r="C133" s="46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spans="1:26" ht="12" customHeight="1" x14ac:dyDescent="0.35">
      <c r="A134" s="40"/>
      <c r="B134" s="40"/>
      <c r="C134" s="46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spans="1:26" ht="12" customHeight="1" x14ac:dyDescent="0.35">
      <c r="A135" s="40"/>
      <c r="B135" s="40"/>
      <c r="C135" s="46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spans="1:26" ht="12" customHeight="1" x14ac:dyDescent="0.35">
      <c r="A136" s="40"/>
      <c r="B136" s="40"/>
      <c r="C136" s="46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spans="1:26" ht="12" customHeight="1" x14ac:dyDescent="0.35">
      <c r="A137" s="40"/>
      <c r="B137" s="40"/>
      <c r="C137" s="46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spans="1:26" ht="12" customHeight="1" x14ac:dyDescent="0.35">
      <c r="A138" s="40"/>
      <c r="B138" s="40"/>
      <c r="C138" s="46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spans="1:26" ht="12" customHeight="1" x14ac:dyDescent="0.35">
      <c r="A139" s="40"/>
      <c r="B139" s="40"/>
      <c r="C139" s="46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spans="1:26" ht="12" customHeight="1" x14ac:dyDescent="0.35">
      <c r="A140" s="40"/>
      <c r="B140" s="40"/>
      <c r="C140" s="46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spans="1:26" ht="12" customHeight="1" x14ac:dyDescent="0.35">
      <c r="A141" s="40"/>
      <c r="B141" s="40"/>
      <c r="C141" s="46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spans="1:26" ht="12" customHeight="1" x14ac:dyDescent="0.35">
      <c r="A142" s="40"/>
      <c r="B142" s="40"/>
      <c r="C142" s="46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spans="1:26" ht="12" customHeight="1" x14ac:dyDescent="0.35">
      <c r="A143" s="40"/>
      <c r="B143" s="40"/>
      <c r="C143" s="46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spans="1:26" ht="12" customHeight="1" x14ac:dyDescent="0.35">
      <c r="A144" s="40"/>
      <c r="B144" s="40"/>
      <c r="C144" s="46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spans="1:26" ht="12" customHeight="1" x14ac:dyDescent="0.35">
      <c r="A145" s="40"/>
      <c r="B145" s="40"/>
      <c r="C145" s="46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spans="1:26" ht="12" customHeight="1" x14ac:dyDescent="0.35">
      <c r="A146" s="40"/>
      <c r="B146" s="40"/>
      <c r="C146" s="46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spans="1:26" ht="12" customHeight="1" x14ac:dyDescent="0.35">
      <c r="A147" s="40"/>
      <c r="B147" s="40"/>
      <c r="C147" s="46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spans="1:26" ht="12" customHeight="1" x14ac:dyDescent="0.35">
      <c r="A148" s="40"/>
      <c r="B148" s="40"/>
      <c r="C148" s="46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spans="1:26" ht="12" customHeight="1" x14ac:dyDescent="0.35">
      <c r="A149" s="40"/>
      <c r="B149" s="40"/>
      <c r="C149" s="46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spans="1:26" ht="12" customHeight="1" x14ac:dyDescent="0.35">
      <c r="A150" s="40"/>
      <c r="B150" s="40"/>
      <c r="C150" s="46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spans="1:26" ht="12" customHeight="1" x14ac:dyDescent="0.35">
      <c r="A151" s="40"/>
      <c r="B151" s="40"/>
      <c r="C151" s="46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spans="1:26" ht="12" customHeight="1" x14ac:dyDescent="0.35">
      <c r="A152" s="40"/>
      <c r="B152" s="40"/>
      <c r="C152" s="46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spans="1:26" ht="12" customHeight="1" x14ac:dyDescent="0.35">
      <c r="A153" s="40"/>
      <c r="B153" s="40"/>
      <c r="C153" s="46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spans="1:26" ht="12" customHeight="1" x14ac:dyDescent="0.35">
      <c r="A154" s="40"/>
      <c r="B154" s="40"/>
      <c r="C154" s="46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spans="1:26" ht="12" customHeight="1" x14ac:dyDescent="0.35">
      <c r="A155" s="40"/>
      <c r="B155" s="40"/>
      <c r="C155" s="46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spans="1:26" ht="12" customHeight="1" x14ac:dyDescent="0.35">
      <c r="A156" s="40"/>
      <c r="B156" s="40"/>
      <c r="C156" s="46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spans="1:26" ht="12" customHeight="1" x14ac:dyDescent="0.35">
      <c r="A157" s="40"/>
      <c r="B157" s="40"/>
      <c r="C157" s="46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spans="1:26" ht="12" customHeight="1" x14ac:dyDescent="0.35">
      <c r="A158" s="40"/>
      <c r="B158" s="40"/>
      <c r="C158" s="46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spans="1:26" ht="12" customHeight="1" x14ac:dyDescent="0.35">
      <c r="A159" s="40"/>
      <c r="B159" s="40"/>
      <c r="C159" s="46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spans="1:26" ht="12" customHeight="1" x14ac:dyDescent="0.35">
      <c r="A160" s="40"/>
      <c r="B160" s="40"/>
      <c r="C160" s="46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spans="1:26" ht="12" customHeight="1" x14ac:dyDescent="0.35">
      <c r="A161" s="40"/>
      <c r="B161" s="40"/>
      <c r="C161" s="46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spans="1:26" ht="12" customHeight="1" x14ac:dyDescent="0.35">
      <c r="A162" s="40"/>
      <c r="B162" s="40"/>
      <c r="C162" s="46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spans="1:26" ht="12" customHeight="1" x14ac:dyDescent="0.35">
      <c r="A163" s="40"/>
      <c r="B163" s="40"/>
      <c r="C163" s="46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spans="1:26" ht="12" customHeight="1" x14ac:dyDescent="0.35">
      <c r="A164" s="40"/>
      <c r="B164" s="40"/>
      <c r="C164" s="46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spans="1:26" ht="12" customHeight="1" x14ac:dyDescent="0.35">
      <c r="A165" s="40"/>
      <c r="B165" s="40"/>
      <c r="C165" s="46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spans="1:26" ht="12" customHeight="1" x14ac:dyDescent="0.35">
      <c r="A166" s="40"/>
      <c r="B166" s="40"/>
      <c r="C166" s="46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spans="1:26" ht="12" customHeight="1" x14ac:dyDescent="0.35">
      <c r="A167" s="40"/>
      <c r="B167" s="40"/>
      <c r="C167" s="46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spans="1:26" ht="12" customHeight="1" x14ac:dyDescent="0.35">
      <c r="A168" s="40"/>
      <c r="B168" s="40"/>
      <c r="C168" s="46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spans="1:26" ht="12" customHeight="1" x14ac:dyDescent="0.35">
      <c r="A169" s="40"/>
      <c r="B169" s="40"/>
      <c r="C169" s="46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spans="1:26" ht="12" customHeight="1" x14ac:dyDescent="0.35">
      <c r="A170" s="40"/>
      <c r="B170" s="40"/>
      <c r="C170" s="46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spans="1:26" ht="12" customHeight="1" x14ac:dyDescent="0.35">
      <c r="A171" s="40"/>
      <c r="B171" s="40"/>
      <c r="C171" s="46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spans="1:26" ht="12" customHeight="1" x14ac:dyDescent="0.35">
      <c r="A172" s="40"/>
      <c r="B172" s="40"/>
      <c r="C172" s="46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spans="1:26" ht="12" customHeight="1" x14ac:dyDescent="0.35">
      <c r="A173" s="40"/>
      <c r="B173" s="40"/>
      <c r="C173" s="46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spans="1:26" ht="12" customHeight="1" x14ac:dyDescent="0.35">
      <c r="A174" s="40"/>
      <c r="B174" s="40"/>
      <c r="C174" s="46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spans="1:26" ht="12" customHeight="1" x14ac:dyDescent="0.35">
      <c r="A175" s="40"/>
      <c r="B175" s="40"/>
      <c r="C175" s="46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spans="1:26" ht="12" customHeight="1" x14ac:dyDescent="0.35">
      <c r="A176" s="40"/>
      <c r="B176" s="40"/>
      <c r="C176" s="46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spans="1:26" ht="12" customHeight="1" x14ac:dyDescent="0.35">
      <c r="A177" s="40"/>
      <c r="B177" s="40"/>
      <c r="C177" s="46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spans="1:26" ht="12" customHeight="1" x14ac:dyDescent="0.35">
      <c r="A178" s="40"/>
      <c r="B178" s="40"/>
      <c r="C178" s="46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spans="1:26" ht="12" customHeight="1" x14ac:dyDescent="0.35">
      <c r="A179" s="40"/>
      <c r="B179" s="40"/>
      <c r="C179" s="46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spans="1:26" ht="12" customHeight="1" x14ac:dyDescent="0.35">
      <c r="A180" s="40"/>
      <c r="B180" s="40"/>
      <c r="C180" s="46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spans="1:26" ht="12" customHeight="1" x14ac:dyDescent="0.35">
      <c r="A181" s="40"/>
      <c r="B181" s="40"/>
      <c r="C181" s="46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spans="1:26" ht="12" customHeight="1" x14ac:dyDescent="0.35">
      <c r="A182" s="40"/>
      <c r="B182" s="40"/>
      <c r="C182" s="46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spans="1:26" ht="12" customHeight="1" x14ac:dyDescent="0.35">
      <c r="A183" s="40"/>
      <c r="B183" s="40"/>
      <c r="C183" s="46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spans="1:26" ht="12" customHeight="1" x14ac:dyDescent="0.35">
      <c r="A184" s="40"/>
      <c r="B184" s="40"/>
      <c r="C184" s="46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spans="1:26" ht="12" customHeight="1" x14ac:dyDescent="0.35">
      <c r="A185" s="40"/>
      <c r="B185" s="40"/>
      <c r="C185" s="46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spans="1:26" ht="12" customHeight="1" x14ac:dyDescent="0.35">
      <c r="A186" s="40"/>
      <c r="B186" s="40"/>
      <c r="C186" s="46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spans="1:26" ht="12" customHeight="1" x14ac:dyDescent="0.35">
      <c r="A187" s="40"/>
      <c r="B187" s="40"/>
      <c r="C187" s="46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spans="1:26" ht="12" customHeight="1" x14ac:dyDescent="0.35">
      <c r="A188" s="40"/>
      <c r="B188" s="40"/>
      <c r="C188" s="46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spans="1:26" ht="12" customHeight="1" x14ac:dyDescent="0.35">
      <c r="A189" s="40"/>
      <c r="B189" s="40"/>
      <c r="C189" s="46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spans="1:26" ht="12" customHeight="1" x14ac:dyDescent="0.35">
      <c r="A190" s="40"/>
      <c r="B190" s="40"/>
      <c r="C190" s="46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spans="1:26" ht="12" customHeight="1" x14ac:dyDescent="0.35">
      <c r="A191" s="40"/>
      <c r="B191" s="40"/>
      <c r="C191" s="46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spans="1:26" ht="12" customHeight="1" x14ac:dyDescent="0.35">
      <c r="A192" s="40"/>
      <c r="B192" s="40"/>
      <c r="C192" s="46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spans="1:26" ht="12" customHeight="1" x14ac:dyDescent="0.35">
      <c r="A193" s="40"/>
      <c r="B193" s="40"/>
      <c r="C193" s="46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spans="1:26" ht="12" customHeight="1" x14ac:dyDescent="0.35">
      <c r="A194" s="40"/>
      <c r="B194" s="40"/>
      <c r="C194" s="46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spans="1:26" ht="12" customHeight="1" x14ac:dyDescent="0.35">
      <c r="A195" s="40"/>
      <c r="B195" s="40"/>
      <c r="C195" s="46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spans="1:26" ht="12" customHeight="1" x14ac:dyDescent="0.35">
      <c r="A196" s="40"/>
      <c r="B196" s="40"/>
      <c r="C196" s="46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spans="1:26" ht="12" customHeight="1" x14ac:dyDescent="0.35">
      <c r="A197" s="40"/>
      <c r="B197" s="40"/>
      <c r="C197" s="46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spans="1:26" ht="12" customHeight="1" x14ac:dyDescent="0.35">
      <c r="A198" s="40"/>
      <c r="B198" s="40"/>
      <c r="C198" s="46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spans="1:26" ht="12" customHeight="1" x14ac:dyDescent="0.35">
      <c r="A199" s="40"/>
      <c r="B199" s="40"/>
      <c r="C199" s="46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spans="1:26" ht="12" customHeight="1" x14ac:dyDescent="0.35">
      <c r="A200" s="40"/>
      <c r="B200" s="40"/>
      <c r="C200" s="46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spans="1:26" ht="12" customHeight="1" x14ac:dyDescent="0.35">
      <c r="A201" s="40"/>
      <c r="B201" s="40"/>
      <c r="C201" s="46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spans="1:26" ht="12" customHeight="1" x14ac:dyDescent="0.35">
      <c r="A202" s="40"/>
      <c r="B202" s="40"/>
      <c r="C202" s="46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spans="1:26" ht="12" customHeight="1" x14ac:dyDescent="0.35">
      <c r="A203" s="40"/>
      <c r="B203" s="40"/>
      <c r="C203" s="46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spans="1:26" ht="12" customHeight="1" x14ac:dyDescent="0.35">
      <c r="A204" s="40"/>
      <c r="B204" s="40"/>
      <c r="C204" s="46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spans="1:26" ht="12" customHeight="1" x14ac:dyDescent="0.35">
      <c r="A205" s="40"/>
      <c r="B205" s="40"/>
      <c r="C205" s="46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spans="1:26" ht="12" customHeight="1" x14ac:dyDescent="0.35">
      <c r="A206" s="40"/>
      <c r="B206" s="40"/>
      <c r="C206" s="46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spans="1:26" ht="12" customHeight="1" x14ac:dyDescent="0.35">
      <c r="A207" s="40"/>
      <c r="B207" s="40"/>
      <c r="C207" s="46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spans="1:26" ht="12" customHeight="1" x14ac:dyDescent="0.35">
      <c r="A208" s="40"/>
      <c r="B208" s="40"/>
      <c r="C208" s="46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spans="1:26" ht="12" customHeight="1" x14ac:dyDescent="0.35">
      <c r="A209" s="40"/>
      <c r="B209" s="40"/>
      <c r="C209" s="46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spans="1:26" ht="15.75" customHeight="1" x14ac:dyDescent="0.35">
      <c r="A210" s="40"/>
      <c r="B210" s="40"/>
      <c r="C210" s="46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spans="1:26" ht="15.75" customHeight="1" x14ac:dyDescent="0.35">
      <c r="A211" s="40"/>
      <c r="B211" s="40"/>
      <c r="C211" s="46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spans="1:26" ht="15.75" customHeight="1" x14ac:dyDescent="0.35">
      <c r="A212" s="40"/>
      <c r="B212" s="40"/>
      <c r="C212" s="46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spans="1:26" ht="15.75" customHeight="1" x14ac:dyDescent="0.35"/>
    <row r="214" spans="1:26" ht="15.75" customHeight="1" x14ac:dyDescent="0.35"/>
    <row r="215" spans="1:26" ht="15.75" customHeight="1" x14ac:dyDescent="0.35"/>
    <row r="216" spans="1:26" ht="15.75" customHeight="1" x14ac:dyDescent="0.35"/>
    <row r="217" spans="1:26" ht="15.75" customHeight="1" x14ac:dyDescent="0.35"/>
    <row r="218" spans="1:26" ht="15.75" customHeight="1" x14ac:dyDescent="0.35"/>
    <row r="219" spans="1:26" ht="15.75" customHeight="1" x14ac:dyDescent="0.35"/>
    <row r="220" spans="1:26" ht="15.75" customHeight="1" x14ac:dyDescent="0.35"/>
    <row r="221" spans="1:26" ht="15.75" customHeight="1" x14ac:dyDescent="0.35"/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</sheetData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44"/>
  <sheetViews>
    <sheetView showGridLines="0" topLeftCell="A25" workbookViewId="0">
      <selection activeCell="A34" sqref="A34:XFD34"/>
    </sheetView>
  </sheetViews>
  <sheetFormatPr baseColWidth="10" defaultColWidth="14.453125" defaultRowHeight="15" customHeight="1" x14ac:dyDescent="0.35"/>
  <cols>
    <col min="2" max="2" width="20.08984375" customWidth="1"/>
    <col min="3" max="3" width="17.26953125" customWidth="1"/>
    <col min="4" max="5" width="15" customWidth="1"/>
    <col min="6" max="14" width="10.7265625" customWidth="1"/>
    <col min="15" max="15" width="7.7265625" customWidth="1"/>
    <col min="16" max="16" width="6.7265625" customWidth="1"/>
    <col min="17" max="18" width="11.08984375" customWidth="1"/>
    <col min="19" max="23" width="10.08984375" customWidth="1"/>
  </cols>
  <sheetData>
    <row r="1" spans="1:26" ht="15.75" customHeight="1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35">
      <c r="A2" s="2"/>
      <c r="B2" s="85" t="s">
        <v>352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7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35">
      <c r="A3" s="2"/>
      <c r="B3" s="88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90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35">
      <c r="A4" s="2"/>
      <c r="B4" s="88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90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35">
      <c r="A5" s="2"/>
      <c r="B5" s="91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3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3.5" customHeight="1" x14ac:dyDescent="0.35">
      <c r="A7" s="2"/>
      <c r="B7" s="94" t="s">
        <v>353</v>
      </c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7"/>
      <c r="O7" s="1"/>
      <c r="P7" s="1"/>
      <c r="Q7" s="1"/>
      <c r="R7" s="47"/>
      <c r="S7" s="47"/>
      <c r="T7" s="47"/>
      <c r="U7" s="47"/>
      <c r="V7" s="47"/>
      <c r="W7" s="47"/>
      <c r="X7" s="2"/>
      <c r="Y7" s="2"/>
      <c r="Z7" s="2"/>
    </row>
    <row r="8" spans="1:26" ht="13.5" customHeight="1" x14ac:dyDescent="0.35">
      <c r="A8" s="2"/>
      <c r="B8" s="91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3"/>
      <c r="O8" s="1"/>
      <c r="P8" s="1"/>
      <c r="Q8" s="1"/>
      <c r="R8" s="47"/>
      <c r="S8" s="47"/>
      <c r="T8" s="47"/>
      <c r="U8" s="47"/>
      <c r="V8" s="47"/>
      <c r="W8" s="47"/>
      <c r="X8" s="2"/>
      <c r="Y8" s="2"/>
      <c r="Z8" s="2"/>
    </row>
    <row r="9" spans="1:26" ht="14.5" x14ac:dyDescent="0.35">
      <c r="B9" s="2"/>
      <c r="C9" s="2"/>
    </row>
    <row r="10" spans="1:26" ht="14.5" x14ac:dyDescent="0.35">
      <c r="B10" s="48" t="s">
        <v>419</v>
      </c>
      <c r="C10" s="2"/>
    </row>
    <row r="11" spans="1:26" ht="14.5" x14ac:dyDescent="0.35">
      <c r="B11" s="49" t="s">
        <v>340</v>
      </c>
      <c r="C11" s="50">
        <v>1</v>
      </c>
    </row>
    <row r="12" spans="1:26" ht="12" customHeight="1" x14ac:dyDescent="0.35">
      <c r="A12" s="1"/>
      <c r="B12" s="2"/>
      <c r="C12" s="51">
        <v>6.5000000000000002E-2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" customHeight="1" x14ac:dyDescent="0.35">
      <c r="A13" s="1"/>
      <c r="B13" s="52" t="s">
        <v>342</v>
      </c>
      <c r="C13" s="50">
        <v>1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" customHeight="1" x14ac:dyDescent="0.35">
      <c r="A14" s="1"/>
      <c r="B14" s="53"/>
      <c r="C14" s="54">
        <v>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" customHeigh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" customHeight="1" x14ac:dyDescent="0.35">
      <c r="A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" customHeight="1" x14ac:dyDescent="0.35">
      <c r="A17" s="1"/>
      <c r="B17" s="48" t="s">
        <v>420</v>
      </c>
      <c r="C17" s="2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" customHeight="1" x14ac:dyDescent="0.35">
      <c r="A18" s="1"/>
      <c r="B18" s="49" t="s">
        <v>340</v>
      </c>
      <c r="C18" s="50">
        <v>1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" customHeight="1" x14ac:dyDescent="0.35">
      <c r="A19" s="1"/>
      <c r="B19" s="2"/>
      <c r="C19" s="55">
        <v>0.112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" customHeight="1" x14ac:dyDescent="0.35">
      <c r="A20" s="1"/>
      <c r="B20" s="52" t="s">
        <v>342</v>
      </c>
      <c r="C20" s="50">
        <v>1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" customHeight="1" x14ac:dyDescent="0.35">
      <c r="A21" s="1"/>
      <c r="B21" s="53"/>
      <c r="C21" s="54">
        <v>0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" customHeight="1" x14ac:dyDescent="0.35">
      <c r="A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" customHeight="1" x14ac:dyDescent="0.35">
      <c r="A23" s="1"/>
      <c r="B23" s="48" t="s">
        <v>417</v>
      </c>
      <c r="C23" s="2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" customHeight="1" x14ac:dyDescent="0.35">
      <c r="A24" s="1"/>
      <c r="B24" s="49" t="s">
        <v>340</v>
      </c>
      <c r="C24" s="50">
        <v>1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" customHeight="1" x14ac:dyDescent="0.35">
      <c r="A25" s="1"/>
      <c r="B25" s="2"/>
      <c r="C25" s="55">
        <v>1.7999999999999999E-2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" customHeight="1" x14ac:dyDescent="0.35">
      <c r="A26" s="1"/>
      <c r="B26" s="52" t="s">
        <v>342</v>
      </c>
      <c r="C26" s="50">
        <v>1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" customHeight="1" x14ac:dyDescent="0.35">
      <c r="A27" s="1"/>
      <c r="B27" s="53"/>
      <c r="C27" s="54">
        <v>0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" customHeight="1" x14ac:dyDescent="0.35">
      <c r="A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" customHeight="1" x14ac:dyDescent="0.35">
      <c r="A30" s="1"/>
      <c r="B30" s="48" t="s">
        <v>418</v>
      </c>
      <c r="C30" s="2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" customHeight="1" x14ac:dyDescent="0.35">
      <c r="A31" s="1"/>
      <c r="B31" s="49" t="s">
        <v>340</v>
      </c>
      <c r="C31" s="50">
        <v>1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" customHeight="1" x14ac:dyDescent="0.35">
      <c r="A32" s="1"/>
      <c r="B32" s="2"/>
      <c r="C32" s="55">
        <v>8.2000000000000003E-2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" customHeight="1" x14ac:dyDescent="0.35">
      <c r="A33" s="1"/>
      <c r="B33" s="52" t="s">
        <v>342</v>
      </c>
      <c r="C33" s="50">
        <v>1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" customHeight="1" x14ac:dyDescent="0.35">
      <c r="A34" s="1"/>
      <c r="B34" s="53"/>
      <c r="C34" s="54">
        <v>0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" customHeight="1" x14ac:dyDescent="0.35">
      <c r="A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5"/>
    <row r="133" spans="1:26" ht="15.75" customHeight="1" x14ac:dyDescent="0.35"/>
    <row r="134" spans="1:26" ht="15.75" customHeight="1" x14ac:dyDescent="0.35"/>
    <row r="135" spans="1:26" ht="15.75" customHeight="1" x14ac:dyDescent="0.35"/>
    <row r="136" spans="1:26" ht="15.75" customHeight="1" x14ac:dyDescent="0.35"/>
    <row r="137" spans="1:26" ht="15.75" customHeight="1" x14ac:dyDescent="0.35"/>
    <row r="138" spans="1:26" ht="15.75" customHeight="1" x14ac:dyDescent="0.35"/>
    <row r="139" spans="1:26" ht="15.75" customHeight="1" x14ac:dyDescent="0.35"/>
    <row r="140" spans="1:26" ht="15.75" customHeight="1" x14ac:dyDescent="0.35"/>
    <row r="141" spans="1:26" ht="15.75" customHeight="1" x14ac:dyDescent="0.35"/>
    <row r="142" spans="1:26" ht="15.75" customHeight="1" x14ac:dyDescent="0.35"/>
    <row r="143" spans="1:26" ht="15.75" customHeight="1" x14ac:dyDescent="0.35"/>
    <row r="144" spans="1:26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</sheetData>
  <mergeCells count="2">
    <mergeCell ref="B2:N5"/>
    <mergeCell ref="B7:N8"/>
  </mergeCells>
  <pageMargins left="0.75" right="0.75" top="1" bottom="1" header="0" footer="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Z998"/>
  <sheetViews>
    <sheetView showGridLines="0" topLeftCell="G1" workbookViewId="0">
      <selection activeCell="J8" sqref="J8"/>
    </sheetView>
  </sheetViews>
  <sheetFormatPr baseColWidth="10" defaultColWidth="14.453125" defaultRowHeight="15" customHeight="1" x14ac:dyDescent="0.35"/>
  <cols>
    <col min="1" max="1" width="15" customWidth="1"/>
    <col min="2" max="2" width="21.54296875" customWidth="1"/>
    <col min="3" max="6" width="15" customWidth="1"/>
    <col min="7" max="7" width="19.08984375" customWidth="1"/>
    <col min="8" max="10" width="15" customWidth="1"/>
    <col min="11" max="11" width="16.54296875" customWidth="1"/>
    <col min="12" max="12" width="16.26953125" customWidth="1"/>
  </cols>
  <sheetData>
    <row r="1" spans="1:26" ht="13.5" customHeight="1" x14ac:dyDescent="0.35">
      <c r="A1" s="46"/>
      <c r="B1" s="46"/>
      <c r="C1" s="46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spans="1:26" ht="13.5" customHeight="1" x14ac:dyDescent="0.35">
      <c r="A2" s="46"/>
      <c r="B2" s="46"/>
      <c r="C2" s="46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spans="1:26" ht="15" customHeight="1" x14ac:dyDescent="0.35">
      <c r="A3" s="56" t="s">
        <v>12</v>
      </c>
      <c r="B3" s="57" t="s">
        <v>14</v>
      </c>
      <c r="C3" s="57" t="s">
        <v>354</v>
      </c>
      <c r="D3" s="58" t="s">
        <v>355</v>
      </c>
      <c r="E3" s="58" t="s">
        <v>356</v>
      </c>
      <c r="F3" s="58" t="s">
        <v>357</v>
      </c>
      <c r="G3" s="58" t="s">
        <v>358</v>
      </c>
      <c r="H3" s="58" t="s">
        <v>359</v>
      </c>
      <c r="I3" s="58" t="s">
        <v>360</v>
      </c>
      <c r="J3" s="58" t="s">
        <v>361</v>
      </c>
      <c r="K3" s="58" t="s">
        <v>362</v>
      </c>
      <c r="L3" s="58" t="s">
        <v>363</v>
      </c>
      <c r="M3" s="58" t="s">
        <v>364</v>
      </c>
      <c r="N3" s="58" t="s">
        <v>365</v>
      </c>
      <c r="O3" s="58" t="s">
        <v>366</v>
      </c>
      <c r="P3" s="58" t="s">
        <v>367</v>
      </c>
      <c r="Q3" s="59"/>
      <c r="R3" s="59"/>
      <c r="S3" s="59"/>
      <c r="T3" s="59"/>
      <c r="U3" s="59"/>
      <c r="V3" s="59"/>
      <c r="W3" s="59"/>
      <c r="X3" s="59"/>
      <c r="Y3" s="60"/>
      <c r="Z3" s="40"/>
    </row>
    <row r="4" spans="1:26" ht="13.5" customHeight="1" x14ac:dyDescent="0.35">
      <c r="A4" s="61" t="s">
        <v>368</v>
      </c>
      <c r="B4" s="62" t="s">
        <v>369</v>
      </c>
      <c r="C4" s="62" t="s">
        <v>354</v>
      </c>
      <c r="D4" s="63" t="s">
        <v>457</v>
      </c>
      <c r="E4" s="63" t="s">
        <v>458</v>
      </c>
      <c r="F4" s="63" t="s">
        <v>459</v>
      </c>
      <c r="G4" s="63" t="s">
        <v>460</v>
      </c>
      <c r="H4" s="63" t="s">
        <v>461</v>
      </c>
      <c r="I4" s="63" t="s">
        <v>462</v>
      </c>
      <c r="J4" s="63" t="s">
        <v>463</v>
      </c>
      <c r="K4" s="63" t="s">
        <v>464</v>
      </c>
      <c r="L4" s="63" t="s">
        <v>465</v>
      </c>
      <c r="M4" s="63" t="s">
        <v>466</v>
      </c>
      <c r="N4" s="63" t="s">
        <v>370</v>
      </c>
      <c r="O4" s="63" t="s">
        <v>467</v>
      </c>
      <c r="P4" s="63" t="s">
        <v>468</v>
      </c>
      <c r="Q4" s="40"/>
      <c r="R4" s="40"/>
      <c r="S4" s="40"/>
      <c r="T4" s="40"/>
      <c r="U4" s="40"/>
      <c r="V4" s="40"/>
      <c r="W4" s="40"/>
      <c r="X4" s="40"/>
      <c r="Y4" s="40"/>
      <c r="Z4" s="40"/>
    </row>
    <row r="5" spans="1:26" ht="13.5" customHeight="1" x14ac:dyDescent="0.35">
      <c r="A5" s="46"/>
      <c r="B5" s="46"/>
      <c r="C5" s="46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spans="1:26" ht="13.5" customHeight="1" x14ac:dyDescent="0.35">
      <c r="A6" s="46"/>
      <c r="B6" s="46"/>
      <c r="C6" s="46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spans="1:26" ht="13.5" customHeight="1" x14ac:dyDescent="0.35">
      <c r="A7" s="46"/>
      <c r="B7" s="46"/>
      <c r="C7" s="46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spans="1:26" ht="13.5" customHeight="1" x14ac:dyDescent="0.35">
      <c r="A8" s="46"/>
      <c r="B8" s="46"/>
      <c r="C8" s="46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spans="1:26" ht="13.5" customHeight="1" x14ac:dyDescent="0.35">
      <c r="A9" s="46"/>
      <c r="B9" s="46"/>
      <c r="C9" s="46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spans="1:26" ht="13.5" customHeight="1" x14ac:dyDescent="0.35">
      <c r="A10" s="46"/>
      <c r="B10" s="46"/>
      <c r="C10" s="46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spans="1:26" ht="13.5" customHeight="1" x14ac:dyDescent="0.35">
      <c r="A11" s="46"/>
      <c r="B11" s="46"/>
      <c r="C11" s="46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spans="1:26" ht="13.5" customHeight="1" x14ac:dyDescent="0.35">
      <c r="A12" s="46"/>
      <c r="B12" s="46"/>
      <c r="C12" s="46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3.5" customHeight="1" x14ac:dyDescent="0.35">
      <c r="A13" s="46"/>
      <c r="B13" s="46"/>
      <c r="C13" s="46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spans="1:26" ht="13.5" customHeight="1" x14ac:dyDescent="0.35">
      <c r="A14" s="46"/>
      <c r="B14" s="46"/>
      <c r="C14" s="46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spans="1:26" ht="13.5" customHeight="1" x14ac:dyDescent="0.35">
      <c r="A15" s="46"/>
      <c r="B15" s="46"/>
      <c r="C15" s="46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spans="1:26" ht="13.5" customHeight="1" x14ac:dyDescent="0.35">
      <c r="A16" s="46"/>
      <c r="B16" s="46"/>
      <c r="C16" s="46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spans="1:26" ht="13.5" customHeight="1" x14ac:dyDescent="0.35">
      <c r="A17" s="46"/>
      <c r="B17" s="46"/>
      <c r="C17" s="46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spans="1:26" ht="15.75" customHeight="1" x14ac:dyDescent="0.35">
      <c r="A18" s="46"/>
      <c r="B18" s="46"/>
      <c r="C18" s="46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spans="1:26" ht="15.75" customHeight="1" x14ac:dyDescent="0.35">
      <c r="A19" s="46"/>
      <c r="B19" s="46"/>
      <c r="C19" s="46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spans="1:26" ht="15.75" customHeight="1" x14ac:dyDescent="0.35">
      <c r="A20" s="46"/>
      <c r="B20" s="46"/>
      <c r="C20" s="46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spans="1:26" ht="15.75" customHeight="1" x14ac:dyDescent="0.35">
      <c r="A21" s="46"/>
      <c r="B21" s="46"/>
      <c r="C21" s="46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spans="1:26" ht="15.75" customHeight="1" x14ac:dyDescent="0.35">
      <c r="A22" s="46"/>
      <c r="B22" s="46"/>
      <c r="C22" s="46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spans="1:26" ht="15.75" customHeight="1" x14ac:dyDescent="0.35">
      <c r="A23" s="46"/>
      <c r="B23" s="46"/>
      <c r="C23" s="46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spans="1:26" ht="15.75" customHeight="1" x14ac:dyDescent="0.35">
      <c r="A24" s="46"/>
      <c r="B24" s="46"/>
      <c r="C24" s="46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spans="1:26" ht="15.75" customHeight="1" x14ac:dyDescent="0.35">
      <c r="A25" s="46"/>
      <c r="B25" s="46"/>
      <c r="C25" s="46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spans="1:26" ht="15.75" customHeight="1" x14ac:dyDescent="0.35">
      <c r="A26" s="46"/>
      <c r="B26" s="46"/>
      <c r="C26" s="46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spans="1:26" ht="15.75" customHeight="1" x14ac:dyDescent="0.35">
      <c r="A27" s="46"/>
      <c r="B27" s="46"/>
      <c r="C27" s="46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spans="1:26" ht="15.75" customHeight="1" x14ac:dyDescent="0.35">
      <c r="A28" s="46"/>
      <c r="B28" s="46"/>
      <c r="C28" s="46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spans="1:26" ht="15.75" customHeight="1" x14ac:dyDescent="0.35">
      <c r="A29" s="46"/>
      <c r="B29" s="46"/>
      <c r="C29" s="46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spans="1:26" ht="15.75" customHeight="1" x14ac:dyDescent="0.35">
      <c r="A30" s="46"/>
      <c r="B30" s="46"/>
      <c r="C30" s="46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spans="1:26" ht="15.75" customHeight="1" x14ac:dyDescent="0.35">
      <c r="A31" s="46"/>
      <c r="B31" s="46"/>
      <c r="C31" s="46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spans="1:26" ht="15.75" customHeight="1" x14ac:dyDescent="0.35">
      <c r="A32" s="46"/>
      <c r="B32" s="46"/>
      <c r="C32" s="46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spans="1:26" ht="15.75" customHeight="1" x14ac:dyDescent="0.35">
      <c r="A33" s="46"/>
      <c r="B33" s="46"/>
      <c r="C33" s="46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spans="1:26" ht="15.75" customHeight="1" x14ac:dyDescent="0.35">
      <c r="A34" s="46"/>
      <c r="B34" s="46"/>
      <c r="C34" s="46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spans="1:26" ht="15.75" customHeight="1" x14ac:dyDescent="0.35">
      <c r="A35" s="46"/>
      <c r="B35" s="46"/>
      <c r="C35" s="46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spans="1:26" ht="15.75" customHeight="1" x14ac:dyDescent="0.35">
      <c r="A36" s="46"/>
      <c r="B36" s="46"/>
      <c r="C36" s="46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spans="1:26" ht="15.75" customHeight="1" x14ac:dyDescent="0.35">
      <c r="A37" s="46"/>
      <c r="B37" s="46"/>
      <c r="C37" s="46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spans="1:26" ht="15.75" customHeight="1" x14ac:dyDescent="0.35">
      <c r="A38" s="46"/>
      <c r="B38" s="46"/>
      <c r="C38" s="46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spans="1:26" ht="15.75" customHeight="1" x14ac:dyDescent="0.35">
      <c r="A39" s="46"/>
      <c r="B39" s="46"/>
      <c r="C39" s="46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6" ht="15.75" customHeight="1" x14ac:dyDescent="0.35">
      <c r="A40" s="46"/>
      <c r="B40" s="46"/>
      <c r="C40" s="46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spans="1:26" ht="15.75" customHeight="1" x14ac:dyDescent="0.35">
      <c r="A41" s="46"/>
      <c r="B41" s="46"/>
      <c r="C41" s="46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spans="1:26" ht="15.75" customHeight="1" x14ac:dyDescent="0.35">
      <c r="A42" s="46"/>
      <c r="B42" s="46"/>
      <c r="C42" s="46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spans="1:26" ht="15.75" customHeight="1" x14ac:dyDescent="0.35">
      <c r="A43" s="46"/>
      <c r="B43" s="46"/>
      <c r="C43" s="46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spans="1:26" ht="15.75" customHeight="1" x14ac:dyDescent="0.35">
      <c r="A44" s="46"/>
      <c r="B44" s="46"/>
      <c r="C44" s="46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spans="1:26" ht="15.75" customHeight="1" x14ac:dyDescent="0.35">
      <c r="A45" s="46"/>
      <c r="B45" s="46"/>
      <c r="C45" s="46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spans="1:26" ht="15.75" customHeight="1" x14ac:dyDescent="0.35">
      <c r="A46" s="46"/>
      <c r="B46" s="46"/>
      <c r="C46" s="46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spans="1:26" ht="15.75" customHeight="1" x14ac:dyDescent="0.35">
      <c r="A47" s="46"/>
      <c r="B47" s="46"/>
      <c r="C47" s="46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spans="1:26" ht="15.75" customHeight="1" x14ac:dyDescent="0.35">
      <c r="A48" s="46"/>
      <c r="B48" s="46"/>
      <c r="C48" s="46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spans="1:26" ht="15.75" customHeight="1" x14ac:dyDescent="0.35">
      <c r="A49" s="46"/>
      <c r="B49" s="46"/>
      <c r="C49" s="46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spans="1:26" ht="15.75" customHeight="1" x14ac:dyDescent="0.35">
      <c r="A50" s="46"/>
      <c r="B50" s="46"/>
      <c r="C50" s="46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spans="1:26" ht="15.75" customHeight="1" x14ac:dyDescent="0.35">
      <c r="A51" s="46"/>
      <c r="B51" s="46"/>
      <c r="C51" s="46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spans="1:26" ht="15.75" customHeight="1" x14ac:dyDescent="0.35">
      <c r="A52" s="46"/>
      <c r="B52" s="46"/>
      <c r="C52" s="46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spans="1:26" ht="15.75" customHeight="1" x14ac:dyDescent="0.35">
      <c r="A53" s="46"/>
      <c r="B53" s="46"/>
      <c r="C53" s="46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1:26" ht="15.75" customHeight="1" x14ac:dyDescent="0.35">
      <c r="A54" s="46"/>
      <c r="B54" s="46"/>
      <c r="C54" s="46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spans="1:26" ht="15.75" customHeight="1" x14ac:dyDescent="0.35">
      <c r="A55" s="46"/>
      <c r="B55" s="46"/>
      <c r="C55" s="46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spans="1:26" ht="15.75" customHeight="1" x14ac:dyDescent="0.35">
      <c r="A56" s="46"/>
      <c r="B56" s="46"/>
      <c r="C56" s="46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1:26" ht="15.75" customHeight="1" x14ac:dyDescent="0.35">
      <c r="A57" s="46"/>
      <c r="B57" s="46"/>
      <c r="C57" s="46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spans="1:26" ht="15.75" customHeight="1" x14ac:dyDescent="0.35">
      <c r="A58" s="46"/>
      <c r="B58" s="46"/>
      <c r="C58" s="46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1:26" ht="15.75" customHeight="1" x14ac:dyDescent="0.35">
      <c r="A59" s="46"/>
      <c r="B59" s="46"/>
      <c r="C59" s="46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spans="1:26" ht="15.75" customHeight="1" x14ac:dyDescent="0.35">
      <c r="A60" s="46"/>
      <c r="B60" s="46"/>
      <c r="C60" s="46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spans="1:26" ht="15.75" customHeight="1" x14ac:dyDescent="0.35">
      <c r="A61" s="46"/>
      <c r="B61" s="46"/>
      <c r="C61" s="46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spans="1:26" ht="15.75" customHeight="1" x14ac:dyDescent="0.35">
      <c r="A62" s="46"/>
      <c r="B62" s="46"/>
      <c r="C62" s="46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spans="1:26" ht="15.75" customHeight="1" x14ac:dyDescent="0.35">
      <c r="A63" s="46"/>
      <c r="B63" s="46"/>
      <c r="C63" s="46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spans="1:26" ht="15.75" customHeight="1" x14ac:dyDescent="0.35">
      <c r="A64" s="46"/>
      <c r="B64" s="46"/>
      <c r="C64" s="46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spans="1:26" ht="15.75" customHeight="1" x14ac:dyDescent="0.35">
      <c r="A65" s="46"/>
      <c r="B65" s="46"/>
      <c r="C65" s="46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spans="1:26" ht="15.75" customHeight="1" x14ac:dyDescent="0.35">
      <c r="A66" s="46"/>
      <c r="B66" s="46"/>
      <c r="C66" s="46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spans="1:26" ht="15.75" customHeight="1" x14ac:dyDescent="0.35">
      <c r="A67" s="46"/>
      <c r="B67" s="46"/>
      <c r="C67" s="46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spans="1:26" ht="15.75" customHeight="1" x14ac:dyDescent="0.35">
      <c r="A68" s="46"/>
      <c r="B68" s="46"/>
      <c r="C68" s="46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spans="1:26" ht="15.75" customHeight="1" x14ac:dyDescent="0.35">
      <c r="A69" s="46"/>
      <c r="B69" s="46"/>
      <c r="C69" s="46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spans="1:26" ht="15.75" customHeight="1" x14ac:dyDescent="0.35">
      <c r="A70" s="46"/>
      <c r="B70" s="46"/>
      <c r="C70" s="46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spans="1:26" ht="15.75" customHeight="1" x14ac:dyDescent="0.35">
      <c r="A71" s="46"/>
      <c r="B71" s="46"/>
      <c r="C71" s="46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spans="1:26" ht="15.75" customHeight="1" x14ac:dyDescent="0.35">
      <c r="A72" s="46"/>
      <c r="B72" s="46"/>
      <c r="C72" s="46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spans="1:26" ht="15.75" customHeight="1" x14ac:dyDescent="0.35">
      <c r="A73" s="46"/>
      <c r="B73" s="46"/>
      <c r="C73" s="46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spans="1:26" ht="15.75" customHeight="1" x14ac:dyDescent="0.35">
      <c r="A74" s="46"/>
      <c r="B74" s="46"/>
      <c r="C74" s="46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spans="1:26" ht="15.75" customHeight="1" x14ac:dyDescent="0.35">
      <c r="A75" s="46"/>
      <c r="B75" s="46"/>
      <c r="C75" s="46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spans="1:26" ht="15.75" customHeight="1" x14ac:dyDescent="0.35">
      <c r="A76" s="46"/>
      <c r="B76" s="46"/>
      <c r="C76" s="46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spans="1:26" ht="15.75" customHeight="1" x14ac:dyDescent="0.35">
      <c r="A77" s="46"/>
      <c r="B77" s="46"/>
      <c r="C77" s="46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spans="1:26" ht="15.75" customHeight="1" x14ac:dyDescent="0.35">
      <c r="A78" s="46"/>
      <c r="B78" s="46"/>
      <c r="C78" s="46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spans="1:26" ht="15.75" customHeight="1" x14ac:dyDescent="0.35">
      <c r="A79" s="46"/>
      <c r="B79" s="46"/>
      <c r="C79" s="46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spans="1:26" ht="15.75" customHeight="1" x14ac:dyDescent="0.35">
      <c r="A80" s="46"/>
      <c r="B80" s="46"/>
      <c r="C80" s="46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spans="1:26" ht="15.75" customHeight="1" x14ac:dyDescent="0.35">
      <c r="A81" s="46"/>
      <c r="B81" s="46"/>
      <c r="C81" s="46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spans="1:26" ht="15.75" customHeight="1" x14ac:dyDescent="0.35">
      <c r="A82" s="46"/>
      <c r="B82" s="46"/>
      <c r="C82" s="46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spans="1:26" ht="15.75" customHeight="1" x14ac:dyDescent="0.35">
      <c r="A83" s="46"/>
      <c r="B83" s="46"/>
      <c r="C83" s="46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1:26" ht="15.75" customHeight="1" x14ac:dyDescent="0.35">
      <c r="A84" s="46"/>
      <c r="B84" s="46"/>
      <c r="C84" s="46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spans="1:26" ht="15.75" customHeight="1" x14ac:dyDescent="0.35">
      <c r="A85" s="46"/>
      <c r="B85" s="46"/>
      <c r="C85" s="46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1:26" ht="15.75" customHeight="1" x14ac:dyDescent="0.35">
      <c r="A86" s="46"/>
      <c r="B86" s="46"/>
      <c r="C86" s="46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spans="1:26" ht="15.75" customHeight="1" x14ac:dyDescent="0.35">
      <c r="A87" s="46"/>
      <c r="B87" s="46"/>
      <c r="C87" s="46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spans="1:26" ht="15.75" customHeight="1" x14ac:dyDescent="0.35">
      <c r="A88" s="46"/>
      <c r="B88" s="46"/>
      <c r="C88" s="46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spans="1:26" ht="15.75" customHeight="1" x14ac:dyDescent="0.35">
      <c r="A89" s="46"/>
      <c r="B89" s="46"/>
      <c r="C89" s="46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spans="1:26" ht="15.75" customHeight="1" x14ac:dyDescent="0.35">
      <c r="A90" s="46"/>
      <c r="B90" s="46"/>
      <c r="C90" s="46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spans="1:26" ht="15.75" customHeight="1" x14ac:dyDescent="0.35">
      <c r="A91" s="46"/>
      <c r="B91" s="46"/>
      <c r="C91" s="46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spans="1:26" ht="15.75" customHeight="1" x14ac:dyDescent="0.35">
      <c r="A92" s="46"/>
      <c r="B92" s="46"/>
      <c r="C92" s="46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spans="1:26" ht="15.75" customHeight="1" x14ac:dyDescent="0.35">
      <c r="A93" s="46"/>
      <c r="B93" s="46"/>
      <c r="C93" s="46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spans="1:26" ht="15.75" customHeight="1" x14ac:dyDescent="0.35">
      <c r="A94" s="46"/>
      <c r="B94" s="46"/>
      <c r="C94" s="46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spans="1:26" ht="15.75" customHeight="1" x14ac:dyDescent="0.35">
      <c r="A95" s="46"/>
      <c r="B95" s="46"/>
      <c r="C95" s="46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spans="1:26" ht="15.75" customHeight="1" x14ac:dyDescent="0.35">
      <c r="A96" s="46"/>
      <c r="B96" s="46"/>
      <c r="C96" s="46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spans="1:26" ht="15.75" customHeight="1" x14ac:dyDescent="0.35">
      <c r="A97" s="46"/>
      <c r="B97" s="46"/>
      <c r="C97" s="46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spans="1:26" ht="15.75" customHeight="1" x14ac:dyDescent="0.35">
      <c r="A98" s="46"/>
      <c r="B98" s="46"/>
      <c r="C98" s="46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spans="1:26" ht="15.75" customHeight="1" x14ac:dyDescent="0.35">
      <c r="A99" s="46"/>
      <c r="B99" s="46"/>
      <c r="C99" s="46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spans="1:26" ht="15.75" customHeight="1" x14ac:dyDescent="0.35">
      <c r="A100" s="46"/>
      <c r="B100" s="46"/>
      <c r="C100" s="46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spans="1:26" ht="15.75" customHeight="1" x14ac:dyDescent="0.35">
      <c r="A101" s="46"/>
      <c r="B101" s="46"/>
      <c r="C101" s="46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spans="1:26" ht="15.75" customHeight="1" x14ac:dyDescent="0.35">
      <c r="A102" s="46"/>
      <c r="B102" s="46"/>
      <c r="C102" s="46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spans="1:26" ht="15.75" customHeight="1" x14ac:dyDescent="0.35">
      <c r="A103" s="46"/>
      <c r="B103" s="46"/>
      <c r="C103" s="46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spans="1:26" ht="15.75" customHeight="1" x14ac:dyDescent="0.35">
      <c r="A104" s="46"/>
      <c r="B104" s="46"/>
      <c r="C104" s="46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spans="1:26" ht="15.75" customHeight="1" x14ac:dyDescent="0.35">
      <c r="A105" s="46"/>
      <c r="B105" s="46"/>
      <c r="C105" s="46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spans="1:26" ht="15.75" customHeight="1" x14ac:dyDescent="0.35">
      <c r="A106" s="46"/>
      <c r="B106" s="46"/>
      <c r="C106" s="46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spans="1:26" ht="15.75" customHeight="1" x14ac:dyDescent="0.35">
      <c r="A107" s="46"/>
      <c r="B107" s="46"/>
      <c r="C107" s="46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spans="1:26" ht="15.75" customHeight="1" x14ac:dyDescent="0.35">
      <c r="A108" s="46"/>
      <c r="B108" s="46"/>
      <c r="C108" s="46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spans="1:26" ht="15.75" customHeight="1" x14ac:dyDescent="0.35">
      <c r="A109" s="46"/>
      <c r="B109" s="46"/>
      <c r="C109" s="46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spans="1:26" ht="15.75" customHeight="1" x14ac:dyDescent="0.35">
      <c r="A110" s="46"/>
      <c r="B110" s="46"/>
      <c r="C110" s="46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spans="1:26" ht="15.75" customHeight="1" x14ac:dyDescent="0.35">
      <c r="A111" s="46"/>
      <c r="B111" s="46"/>
      <c r="C111" s="46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spans="1:26" ht="15.75" customHeight="1" x14ac:dyDescent="0.35">
      <c r="A112" s="46"/>
      <c r="B112" s="46"/>
      <c r="C112" s="46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spans="1:26" ht="15.75" customHeight="1" x14ac:dyDescent="0.35">
      <c r="A113" s="46"/>
      <c r="B113" s="46"/>
      <c r="C113" s="46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spans="1:26" ht="15.75" customHeight="1" x14ac:dyDescent="0.35">
      <c r="A114" s="46"/>
      <c r="B114" s="46"/>
      <c r="C114" s="46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spans="1:26" ht="15.75" customHeight="1" x14ac:dyDescent="0.35">
      <c r="A115" s="46"/>
      <c r="B115" s="46"/>
      <c r="C115" s="46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spans="1:26" ht="15.75" customHeight="1" x14ac:dyDescent="0.35">
      <c r="A116" s="46"/>
      <c r="B116" s="46"/>
      <c r="C116" s="46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spans="1:26" ht="15.75" customHeight="1" x14ac:dyDescent="0.35">
      <c r="A117" s="46"/>
      <c r="B117" s="46"/>
      <c r="C117" s="46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spans="1:26" ht="15.75" customHeight="1" x14ac:dyDescent="0.35">
      <c r="A118" s="46"/>
      <c r="B118" s="46"/>
      <c r="C118" s="46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spans="1:26" ht="15.75" customHeight="1" x14ac:dyDescent="0.35">
      <c r="A119" s="46"/>
      <c r="B119" s="46"/>
      <c r="C119" s="46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spans="1:26" ht="15.75" customHeight="1" x14ac:dyDescent="0.35">
      <c r="A120" s="46"/>
      <c r="B120" s="46"/>
      <c r="C120" s="46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spans="1:26" ht="15.75" customHeight="1" x14ac:dyDescent="0.35">
      <c r="A121" s="46"/>
      <c r="B121" s="46"/>
      <c r="C121" s="46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spans="1:26" ht="15.75" customHeight="1" x14ac:dyDescent="0.35">
      <c r="A122" s="46"/>
      <c r="B122" s="46"/>
      <c r="C122" s="46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spans="1:26" ht="15.75" customHeight="1" x14ac:dyDescent="0.35">
      <c r="A123" s="46"/>
      <c r="B123" s="46"/>
      <c r="C123" s="46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spans="1:26" ht="15.75" customHeight="1" x14ac:dyDescent="0.35">
      <c r="A124" s="46"/>
      <c r="B124" s="46"/>
      <c r="C124" s="46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spans="1:26" ht="15.75" customHeight="1" x14ac:dyDescent="0.35">
      <c r="A125" s="46"/>
      <c r="B125" s="46"/>
      <c r="C125" s="46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spans="1:26" ht="15.75" customHeight="1" x14ac:dyDescent="0.35">
      <c r="A126" s="46"/>
      <c r="B126" s="46"/>
      <c r="C126" s="46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spans="1:26" ht="15.75" customHeight="1" x14ac:dyDescent="0.35">
      <c r="A127" s="46"/>
      <c r="B127" s="46"/>
      <c r="C127" s="46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spans="1:26" ht="15.75" customHeight="1" x14ac:dyDescent="0.35">
      <c r="A128" s="46"/>
      <c r="B128" s="46"/>
      <c r="C128" s="46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spans="1:26" ht="15.75" customHeight="1" x14ac:dyDescent="0.35">
      <c r="A129" s="46"/>
      <c r="B129" s="46"/>
      <c r="C129" s="46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spans="1:26" ht="15.75" customHeight="1" x14ac:dyDescent="0.35">
      <c r="A130" s="46"/>
      <c r="B130" s="46"/>
      <c r="C130" s="46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spans="1:26" ht="15.75" customHeight="1" x14ac:dyDescent="0.35">
      <c r="A131" s="46"/>
      <c r="B131" s="46"/>
      <c r="C131" s="46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spans="1:26" ht="15.75" customHeight="1" x14ac:dyDescent="0.35">
      <c r="A132" s="46"/>
      <c r="B132" s="46"/>
      <c r="C132" s="46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spans="1:26" ht="15.75" customHeight="1" x14ac:dyDescent="0.35">
      <c r="A133" s="46"/>
      <c r="B133" s="46"/>
      <c r="C133" s="46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spans="1:26" ht="15.75" customHeight="1" x14ac:dyDescent="0.35">
      <c r="A134" s="46"/>
      <c r="B134" s="46"/>
      <c r="C134" s="46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spans="1:26" ht="15.75" customHeight="1" x14ac:dyDescent="0.35">
      <c r="A135" s="46"/>
      <c r="B135" s="46"/>
      <c r="C135" s="46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spans="1:26" ht="15.75" customHeight="1" x14ac:dyDescent="0.35">
      <c r="A136" s="46"/>
      <c r="B136" s="46"/>
      <c r="C136" s="46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spans="1:26" ht="15.75" customHeight="1" x14ac:dyDescent="0.35">
      <c r="A137" s="46"/>
      <c r="B137" s="46"/>
      <c r="C137" s="46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spans="1:26" ht="15.75" customHeight="1" x14ac:dyDescent="0.35">
      <c r="A138" s="46"/>
      <c r="B138" s="46"/>
      <c r="C138" s="46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spans="1:26" ht="15.75" customHeight="1" x14ac:dyDescent="0.35">
      <c r="A139" s="46"/>
      <c r="B139" s="46"/>
      <c r="C139" s="46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spans="1:26" ht="15.75" customHeight="1" x14ac:dyDescent="0.35">
      <c r="A140" s="46"/>
      <c r="B140" s="46"/>
      <c r="C140" s="46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spans="1:26" ht="15.75" customHeight="1" x14ac:dyDescent="0.35">
      <c r="A141" s="46"/>
      <c r="B141" s="46"/>
      <c r="C141" s="46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spans="1:26" ht="15.75" customHeight="1" x14ac:dyDescent="0.35">
      <c r="A142" s="46"/>
      <c r="B142" s="46"/>
      <c r="C142" s="46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spans="1:26" ht="15.75" customHeight="1" x14ac:dyDescent="0.35">
      <c r="A143" s="46"/>
      <c r="B143" s="46"/>
      <c r="C143" s="46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spans="1:26" ht="15.75" customHeight="1" x14ac:dyDescent="0.35">
      <c r="A144" s="46"/>
      <c r="B144" s="46"/>
      <c r="C144" s="46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spans="1:26" ht="15.75" customHeight="1" x14ac:dyDescent="0.35">
      <c r="A145" s="46"/>
      <c r="B145" s="46"/>
      <c r="C145" s="46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spans="1:26" ht="15.75" customHeight="1" x14ac:dyDescent="0.35">
      <c r="A146" s="46"/>
      <c r="B146" s="46"/>
      <c r="C146" s="46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spans="1:26" ht="15.75" customHeight="1" x14ac:dyDescent="0.35">
      <c r="A147" s="46"/>
      <c r="B147" s="46"/>
      <c r="C147" s="46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spans="1:26" ht="15.75" customHeight="1" x14ac:dyDescent="0.35">
      <c r="A148" s="46"/>
      <c r="B148" s="46"/>
      <c r="C148" s="46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spans="1:26" ht="15.75" customHeight="1" x14ac:dyDescent="0.35">
      <c r="A149" s="46"/>
      <c r="B149" s="46"/>
      <c r="C149" s="46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spans="1:26" ht="15.75" customHeight="1" x14ac:dyDescent="0.35">
      <c r="A150" s="46"/>
      <c r="B150" s="46"/>
      <c r="C150" s="46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spans="1:26" ht="15.75" customHeight="1" x14ac:dyDescent="0.35">
      <c r="A151" s="46"/>
      <c r="B151" s="46"/>
      <c r="C151" s="46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spans="1:26" ht="15.75" customHeight="1" x14ac:dyDescent="0.35">
      <c r="A152" s="46"/>
      <c r="B152" s="46"/>
      <c r="C152" s="46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spans="1:26" ht="15.75" customHeight="1" x14ac:dyDescent="0.35">
      <c r="A153" s="46"/>
      <c r="B153" s="46"/>
      <c r="C153" s="46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spans="1:26" ht="15.75" customHeight="1" x14ac:dyDescent="0.35">
      <c r="A154" s="46"/>
      <c r="B154" s="46"/>
      <c r="C154" s="46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spans="1:26" ht="15.75" customHeight="1" x14ac:dyDescent="0.35">
      <c r="A155" s="46"/>
      <c r="B155" s="46"/>
      <c r="C155" s="46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spans="1:26" ht="15.75" customHeight="1" x14ac:dyDescent="0.35">
      <c r="A156" s="46"/>
      <c r="B156" s="46"/>
      <c r="C156" s="46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spans="1:26" ht="15.75" customHeight="1" x14ac:dyDescent="0.35">
      <c r="A157" s="46"/>
      <c r="B157" s="46"/>
      <c r="C157" s="46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spans="1:26" ht="15.75" customHeight="1" x14ac:dyDescent="0.35">
      <c r="A158" s="46"/>
      <c r="B158" s="46"/>
      <c r="C158" s="46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spans="1:26" ht="15.75" customHeight="1" x14ac:dyDescent="0.35">
      <c r="A159" s="46"/>
      <c r="B159" s="46"/>
      <c r="C159" s="46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spans="1:26" ht="15.75" customHeight="1" x14ac:dyDescent="0.35">
      <c r="A160" s="46"/>
      <c r="B160" s="46"/>
      <c r="C160" s="46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spans="1:26" ht="15.75" customHeight="1" x14ac:dyDescent="0.35">
      <c r="A161" s="46"/>
      <c r="B161" s="46"/>
      <c r="C161" s="46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spans="1:26" ht="15.75" customHeight="1" x14ac:dyDescent="0.35">
      <c r="A162" s="46"/>
      <c r="B162" s="46"/>
      <c r="C162" s="46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spans="1:26" ht="15.75" customHeight="1" x14ac:dyDescent="0.35">
      <c r="A163" s="46"/>
      <c r="B163" s="46"/>
      <c r="C163" s="46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spans="1:26" ht="15.75" customHeight="1" x14ac:dyDescent="0.35">
      <c r="A164" s="46"/>
      <c r="B164" s="46"/>
      <c r="C164" s="46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spans="1:26" ht="15.75" customHeight="1" x14ac:dyDescent="0.35">
      <c r="A165" s="46"/>
      <c r="B165" s="46"/>
      <c r="C165" s="46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spans="1:26" ht="15.75" customHeight="1" x14ac:dyDescent="0.35">
      <c r="A166" s="46"/>
      <c r="B166" s="46"/>
      <c r="C166" s="46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spans="1:26" ht="15.75" customHeight="1" x14ac:dyDescent="0.35">
      <c r="A167" s="46"/>
      <c r="B167" s="46"/>
      <c r="C167" s="46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spans="1:26" ht="15.75" customHeight="1" x14ac:dyDescent="0.35">
      <c r="A168" s="46"/>
      <c r="B168" s="46"/>
      <c r="C168" s="46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spans="1:26" ht="15.75" customHeight="1" x14ac:dyDescent="0.35">
      <c r="A169" s="46"/>
      <c r="B169" s="46"/>
      <c r="C169" s="46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spans="1:26" ht="15.75" customHeight="1" x14ac:dyDescent="0.35">
      <c r="A170" s="46"/>
      <c r="B170" s="46"/>
      <c r="C170" s="46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spans="1:26" ht="15.75" customHeight="1" x14ac:dyDescent="0.35">
      <c r="A171" s="46"/>
      <c r="B171" s="46"/>
      <c r="C171" s="46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spans="1:26" ht="15.75" customHeight="1" x14ac:dyDescent="0.35">
      <c r="A172" s="46"/>
      <c r="B172" s="46"/>
      <c r="C172" s="46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spans="1:26" ht="15.75" customHeight="1" x14ac:dyDescent="0.35">
      <c r="A173" s="46"/>
      <c r="B173" s="46"/>
      <c r="C173" s="46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spans="1:26" ht="15.75" customHeight="1" x14ac:dyDescent="0.35">
      <c r="A174" s="46"/>
      <c r="B174" s="46"/>
      <c r="C174" s="46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spans="1:26" ht="15.75" customHeight="1" x14ac:dyDescent="0.35">
      <c r="A175" s="46"/>
      <c r="B175" s="46"/>
      <c r="C175" s="46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spans="1:26" ht="15.75" customHeight="1" x14ac:dyDescent="0.35">
      <c r="A176" s="46"/>
      <c r="B176" s="46"/>
      <c r="C176" s="46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spans="1:26" ht="15.75" customHeight="1" x14ac:dyDescent="0.35">
      <c r="A177" s="46"/>
      <c r="B177" s="46"/>
      <c r="C177" s="46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spans="1:26" ht="15.75" customHeight="1" x14ac:dyDescent="0.35">
      <c r="A178" s="46"/>
      <c r="B178" s="46"/>
      <c r="C178" s="46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spans="1:26" ht="15.75" customHeight="1" x14ac:dyDescent="0.35">
      <c r="A179" s="46"/>
      <c r="B179" s="46"/>
      <c r="C179" s="46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spans="1:26" ht="15.75" customHeight="1" x14ac:dyDescent="0.35">
      <c r="A180" s="46"/>
      <c r="B180" s="46"/>
      <c r="C180" s="46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spans="1:26" ht="15.75" customHeight="1" x14ac:dyDescent="0.35">
      <c r="A181" s="46"/>
      <c r="B181" s="46"/>
      <c r="C181" s="46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spans="1:26" ht="15.75" customHeight="1" x14ac:dyDescent="0.35">
      <c r="A182" s="46"/>
      <c r="B182" s="46"/>
      <c r="C182" s="46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spans="1:26" ht="15.75" customHeight="1" x14ac:dyDescent="0.35">
      <c r="A183" s="46"/>
      <c r="B183" s="46"/>
      <c r="C183" s="46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spans="1:26" ht="15.75" customHeight="1" x14ac:dyDescent="0.35">
      <c r="A184" s="46"/>
      <c r="B184" s="46"/>
      <c r="C184" s="46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spans="1:26" ht="15.75" customHeight="1" x14ac:dyDescent="0.35">
      <c r="A185" s="46"/>
      <c r="B185" s="46"/>
      <c r="C185" s="46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spans="1:26" ht="15.75" customHeight="1" x14ac:dyDescent="0.35">
      <c r="A186" s="46"/>
      <c r="B186" s="46"/>
      <c r="C186" s="46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spans="1:26" ht="15.75" customHeight="1" x14ac:dyDescent="0.35">
      <c r="A187" s="46"/>
      <c r="B187" s="46"/>
      <c r="C187" s="46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spans="1:26" ht="15.75" customHeight="1" x14ac:dyDescent="0.35">
      <c r="A188" s="46"/>
      <c r="B188" s="46"/>
      <c r="C188" s="46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spans="1:26" ht="15.75" customHeight="1" x14ac:dyDescent="0.35">
      <c r="A189" s="46"/>
      <c r="B189" s="46"/>
      <c r="C189" s="46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spans="1:26" ht="15.75" customHeight="1" x14ac:dyDescent="0.35">
      <c r="A190" s="46"/>
      <c r="B190" s="46"/>
      <c r="C190" s="46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spans="1:26" ht="15.75" customHeight="1" x14ac:dyDescent="0.35">
      <c r="A191" s="46"/>
      <c r="B191" s="46"/>
      <c r="C191" s="46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spans="1:26" ht="15.75" customHeight="1" x14ac:dyDescent="0.35">
      <c r="A192" s="46"/>
      <c r="B192" s="46"/>
      <c r="C192" s="46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spans="1:26" ht="15.75" customHeight="1" x14ac:dyDescent="0.35">
      <c r="A193" s="46"/>
      <c r="B193" s="46"/>
      <c r="C193" s="46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spans="1:26" ht="15.75" customHeight="1" x14ac:dyDescent="0.35">
      <c r="A194" s="46"/>
      <c r="B194" s="46"/>
      <c r="C194" s="46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spans="1:26" ht="15.75" customHeight="1" x14ac:dyDescent="0.35">
      <c r="A195" s="46"/>
      <c r="B195" s="46"/>
      <c r="C195" s="46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spans="1:26" ht="15.75" customHeight="1" x14ac:dyDescent="0.35">
      <c r="A196" s="46"/>
      <c r="B196" s="46"/>
      <c r="C196" s="46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spans="1:26" ht="15.75" customHeight="1" x14ac:dyDescent="0.35">
      <c r="A197" s="46"/>
      <c r="B197" s="46"/>
      <c r="C197" s="46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spans="1:26" ht="15.75" customHeight="1" x14ac:dyDescent="0.35">
      <c r="A198" s="46"/>
      <c r="B198" s="46"/>
      <c r="C198" s="46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spans="1:26" ht="15.75" customHeight="1" x14ac:dyDescent="0.35">
      <c r="A199" s="46"/>
      <c r="B199" s="46"/>
      <c r="C199" s="46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spans="1:26" ht="15.75" customHeight="1" x14ac:dyDescent="0.35">
      <c r="A200" s="46"/>
      <c r="B200" s="46"/>
      <c r="C200" s="46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spans="1:26" ht="15.75" customHeight="1" x14ac:dyDescent="0.35">
      <c r="A201" s="46"/>
      <c r="B201" s="46"/>
      <c r="C201" s="46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spans="1:26" ht="15.75" customHeight="1" x14ac:dyDescent="0.35">
      <c r="A202" s="46"/>
      <c r="B202" s="46"/>
      <c r="C202" s="46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spans="1:26" ht="15.75" customHeight="1" x14ac:dyDescent="0.35">
      <c r="A203" s="46"/>
      <c r="B203" s="46"/>
      <c r="C203" s="46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spans="1:26" ht="15.75" customHeight="1" x14ac:dyDescent="0.35">
      <c r="A204" s="46"/>
      <c r="B204" s="46"/>
      <c r="C204" s="46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spans="1:26" ht="15.75" customHeight="1" x14ac:dyDescent="0.35">
      <c r="A205" s="46"/>
      <c r="B205" s="46"/>
      <c r="C205" s="46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spans="1:26" ht="15.75" customHeight="1" x14ac:dyDescent="0.35">
      <c r="A206" s="46"/>
      <c r="B206" s="46"/>
      <c r="C206" s="46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spans="1:26" ht="15.75" customHeight="1" x14ac:dyDescent="0.35">
      <c r="A207" s="46"/>
      <c r="B207" s="46"/>
      <c r="C207" s="46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spans="1:26" ht="15.75" customHeight="1" x14ac:dyDescent="0.35">
      <c r="A208" s="46"/>
      <c r="B208" s="46"/>
      <c r="C208" s="46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spans="1:26" ht="15.75" customHeight="1" x14ac:dyDescent="0.35">
      <c r="A209" s="46"/>
      <c r="B209" s="46"/>
      <c r="C209" s="46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spans="1:26" ht="15.75" customHeight="1" x14ac:dyDescent="0.35">
      <c r="A210" s="46"/>
      <c r="B210" s="46"/>
      <c r="C210" s="46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spans="1:26" ht="15.75" customHeight="1" x14ac:dyDescent="0.35">
      <c r="A211" s="46"/>
      <c r="B211" s="46"/>
      <c r="C211" s="46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spans="1:26" ht="15.75" customHeight="1" x14ac:dyDescent="0.35">
      <c r="A212" s="46"/>
      <c r="B212" s="46"/>
      <c r="C212" s="46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spans="1:26" ht="15.75" customHeight="1" x14ac:dyDescent="0.35">
      <c r="A213" s="46"/>
      <c r="B213" s="46"/>
      <c r="C213" s="46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spans="1:26" ht="15.75" customHeight="1" x14ac:dyDescent="0.35">
      <c r="A214" s="46"/>
      <c r="B214" s="46"/>
      <c r="C214" s="46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spans="1:26" ht="15.75" customHeight="1" x14ac:dyDescent="0.35">
      <c r="A215" s="46"/>
      <c r="B215" s="46"/>
      <c r="C215" s="46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spans="1:26" ht="15.75" customHeight="1" x14ac:dyDescent="0.35">
      <c r="A216" s="46"/>
      <c r="B216" s="46"/>
      <c r="C216" s="46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spans="1:26" ht="15.75" customHeight="1" x14ac:dyDescent="0.35">
      <c r="A217" s="46"/>
      <c r="B217" s="46"/>
      <c r="C217" s="46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spans="1:26" ht="15.75" customHeight="1" x14ac:dyDescent="0.35">
      <c r="A218" s="64"/>
      <c r="B218" s="64"/>
      <c r="C218" s="64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15.75" customHeight="1" x14ac:dyDescent="0.35"/>
    <row r="220" spans="1:26" ht="15.75" customHeight="1" x14ac:dyDescent="0.35"/>
    <row r="221" spans="1:26" ht="15.75" customHeight="1" x14ac:dyDescent="0.35"/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</sheetData>
  <pageMargins left="0.7" right="0.7" top="0.75" bottom="0.75" header="0" footer="0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GL73"/>
  <sheetViews>
    <sheetView showGridLines="0" topLeftCell="EP1" zoomScale="93" workbookViewId="0">
      <selection activeCell="A6" sqref="A6:GL9"/>
    </sheetView>
  </sheetViews>
  <sheetFormatPr baseColWidth="10" defaultColWidth="14.453125" defaultRowHeight="15" customHeight="1" outlineLevelCol="1" x14ac:dyDescent="0.35"/>
  <cols>
    <col min="1" max="1" width="38.26953125" customWidth="1"/>
    <col min="2" max="2" width="45.81640625" customWidth="1"/>
    <col min="3" max="3" width="46.54296875" customWidth="1"/>
    <col min="4" max="4" width="18.08984375" customWidth="1" outlineLevel="1"/>
    <col min="5" max="15" width="16.453125" customWidth="1" outlineLevel="1"/>
    <col min="16" max="16" width="11" customWidth="1"/>
    <col min="17" max="17" width="42.26953125" customWidth="1"/>
    <col min="18" max="18" width="52" customWidth="1"/>
    <col min="19" max="19" width="11.54296875" customWidth="1" outlineLevel="1"/>
    <col min="20" max="20" width="11.453125" customWidth="1" outlineLevel="1"/>
    <col min="21" max="21" width="11.54296875" customWidth="1" outlineLevel="1"/>
    <col min="22" max="22" width="11" customWidth="1" outlineLevel="1"/>
    <col min="23" max="30" width="10.453125" customWidth="1" outlineLevel="1"/>
    <col min="31" max="31" width="11" customWidth="1"/>
    <col min="32" max="32" width="46" customWidth="1"/>
    <col min="33" max="33" width="52" customWidth="1"/>
    <col min="34" max="34" width="11.54296875" customWidth="1" outlineLevel="1"/>
    <col min="35" max="35" width="11.453125" customWidth="1" outlineLevel="1"/>
    <col min="36" max="36" width="11.54296875" customWidth="1" outlineLevel="1"/>
    <col min="37" max="37" width="11" customWidth="1" outlineLevel="1"/>
    <col min="38" max="45" width="10.453125" customWidth="1" outlineLevel="1"/>
    <col min="46" max="46" width="11" customWidth="1"/>
    <col min="47" max="47" width="20" customWidth="1"/>
    <col min="48" max="48" width="52" customWidth="1"/>
    <col min="49" max="49" width="11.54296875" customWidth="1" outlineLevel="1"/>
    <col min="50" max="50" width="11.453125" customWidth="1" outlineLevel="1"/>
    <col min="51" max="51" width="11.54296875" customWidth="1" outlineLevel="1"/>
    <col min="52" max="60" width="10.453125" customWidth="1" outlineLevel="1"/>
    <col min="61" max="61" width="11" customWidth="1"/>
    <col min="62" max="62" width="23.54296875" customWidth="1"/>
    <col min="63" max="63" width="52" customWidth="1"/>
    <col min="64" max="64" width="11.54296875" customWidth="1" outlineLevel="1"/>
    <col min="65" max="65" width="11.453125" customWidth="1" outlineLevel="1"/>
    <col min="66" max="66" width="11.54296875" customWidth="1" outlineLevel="1"/>
    <col min="67" max="67" width="11" customWidth="1" outlineLevel="1"/>
    <col min="68" max="75" width="10.453125" customWidth="1" outlineLevel="1"/>
    <col min="76" max="76" width="11" customWidth="1"/>
    <col min="77" max="77" width="46" customWidth="1"/>
    <col min="78" max="78" width="52" customWidth="1"/>
    <col min="79" max="79" width="11.54296875" customWidth="1" outlineLevel="1"/>
    <col min="80" max="80" width="11.453125" customWidth="1" outlineLevel="1"/>
    <col min="81" max="81" width="11.54296875" customWidth="1" outlineLevel="1"/>
    <col min="82" max="90" width="10.453125" customWidth="1" outlineLevel="1"/>
    <col min="92" max="92" width="46" customWidth="1"/>
    <col min="93" max="93" width="52" customWidth="1"/>
    <col min="94" max="94" width="11.54296875" customWidth="1" outlineLevel="1"/>
    <col min="95" max="95" width="11.453125" customWidth="1" outlineLevel="1"/>
    <col min="96" max="96" width="11.54296875" customWidth="1" outlineLevel="1"/>
    <col min="97" max="105" width="10.453125" customWidth="1" outlineLevel="1"/>
    <col min="106" max="106" width="11" customWidth="1"/>
    <col min="107" max="107" width="46" customWidth="1"/>
    <col min="108" max="108" width="52" customWidth="1"/>
    <col min="109" max="109" width="11.54296875" customWidth="1" outlineLevel="1"/>
    <col min="110" max="110" width="11.453125" customWidth="1" outlineLevel="1"/>
    <col min="111" max="111" width="11.54296875" customWidth="1" outlineLevel="1"/>
    <col min="112" max="120" width="10.453125" customWidth="1" outlineLevel="1"/>
    <col min="122" max="122" width="46" customWidth="1"/>
    <col min="123" max="123" width="52" customWidth="1"/>
    <col min="124" max="124" width="11.54296875" customWidth="1" outlineLevel="1"/>
    <col min="125" max="125" width="11.453125" customWidth="1" outlineLevel="1"/>
    <col min="126" max="126" width="11.54296875" customWidth="1" outlineLevel="1"/>
    <col min="127" max="135" width="10.453125" customWidth="1" outlineLevel="1"/>
    <col min="137" max="137" width="46" customWidth="1"/>
    <col min="138" max="138" width="52" customWidth="1"/>
    <col min="139" max="139" width="11.54296875" customWidth="1" outlineLevel="1"/>
    <col min="140" max="140" width="11.453125" customWidth="1" outlineLevel="1"/>
    <col min="141" max="141" width="11.54296875" customWidth="1" outlineLevel="1"/>
    <col min="142" max="150" width="10.453125" customWidth="1" outlineLevel="1"/>
    <col min="152" max="152" width="7.26953125" customWidth="1"/>
    <col min="153" max="153" width="11.54296875" customWidth="1" outlineLevel="1"/>
    <col min="154" max="154" width="11.453125" customWidth="1" outlineLevel="1"/>
    <col min="155" max="155" width="11.54296875" customWidth="1" outlineLevel="1"/>
    <col min="156" max="164" width="10.453125" customWidth="1" outlineLevel="1"/>
    <col min="166" max="166" width="46" customWidth="1"/>
    <col min="167" max="167" width="52" customWidth="1"/>
    <col min="168" max="168" width="11.54296875" customWidth="1" outlineLevel="1"/>
    <col min="169" max="169" width="11.453125" customWidth="1" outlineLevel="1"/>
    <col min="170" max="170" width="11.54296875" customWidth="1" outlineLevel="1"/>
    <col min="171" max="179" width="10.453125" customWidth="1" outlineLevel="1"/>
    <col min="181" max="181" width="46" customWidth="1"/>
    <col min="182" max="182" width="52" customWidth="1"/>
    <col min="183" max="183" width="11.54296875" customWidth="1" outlineLevel="1"/>
    <col min="184" max="184" width="11.453125" customWidth="1" outlineLevel="1"/>
    <col min="185" max="185" width="11.54296875" customWidth="1" outlineLevel="1"/>
    <col min="186" max="194" width="10.453125" customWidth="1" outlineLevel="1"/>
  </cols>
  <sheetData>
    <row r="1" spans="1:194" ht="14.25" customHeight="1" x14ac:dyDescent="0.35">
      <c r="A1" s="65"/>
      <c r="B1" s="65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6"/>
      <c r="BF1" s="66"/>
      <c r="BG1" s="66"/>
      <c r="BH1" s="66"/>
      <c r="BI1" s="66"/>
      <c r="BJ1" s="66"/>
      <c r="BK1" s="66"/>
      <c r="BL1" s="66"/>
      <c r="BM1" s="66"/>
      <c r="BN1" s="66"/>
      <c r="BO1" s="66"/>
      <c r="BP1" s="66"/>
      <c r="BQ1" s="66"/>
      <c r="BR1" s="66"/>
      <c r="BS1" s="66"/>
      <c r="BT1" s="66"/>
      <c r="BU1" s="66"/>
      <c r="BV1" s="66"/>
      <c r="BW1" s="66"/>
      <c r="BX1" s="66"/>
      <c r="BY1" s="66"/>
      <c r="BZ1" s="66"/>
      <c r="CA1" s="66"/>
      <c r="CB1" s="66"/>
      <c r="CC1" s="66"/>
      <c r="CD1" s="66"/>
      <c r="CE1" s="66"/>
      <c r="CF1" s="66"/>
      <c r="CG1" s="66"/>
      <c r="CH1" s="66"/>
      <c r="CI1" s="66"/>
      <c r="CJ1" s="66"/>
      <c r="CK1" s="66"/>
      <c r="CL1" s="66"/>
      <c r="CM1" s="66"/>
      <c r="CN1" s="66"/>
      <c r="CO1" s="66"/>
      <c r="CP1" s="66"/>
      <c r="CQ1" s="66"/>
      <c r="CR1" s="66"/>
      <c r="CS1" s="66"/>
      <c r="CT1" s="66"/>
      <c r="CU1" s="66"/>
      <c r="CV1" s="66"/>
      <c r="CW1" s="66"/>
      <c r="CX1" s="66"/>
      <c r="CY1" s="66"/>
      <c r="CZ1" s="66"/>
      <c r="DA1" s="66"/>
      <c r="DB1" s="66"/>
      <c r="DC1" s="66"/>
      <c r="DD1" s="66"/>
      <c r="DE1" s="66"/>
      <c r="DF1" s="66"/>
      <c r="DG1" s="66"/>
      <c r="DH1" s="66"/>
      <c r="DI1" s="66"/>
      <c r="DJ1" s="66"/>
      <c r="DK1" s="66"/>
      <c r="DL1" s="66"/>
      <c r="DM1" s="66"/>
      <c r="DN1" s="66"/>
      <c r="DO1" s="66"/>
      <c r="DP1" s="66"/>
      <c r="DQ1" s="66"/>
      <c r="DR1" s="66"/>
      <c r="DS1" s="66"/>
      <c r="DT1" s="66"/>
      <c r="DU1" s="66"/>
      <c r="DV1" s="66"/>
      <c r="DW1" s="66"/>
      <c r="DX1" s="66"/>
      <c r="DY1" s="66"/>
      <c r="DZ1" s="66"/>
      <c r="EA1" s="66"/>
      <c r="EB1" s="66"/>
      <c r="EC1" s="66"/>
      <c r="ED1" s="66"/>
      <c r="EE1" s="66"/>
      <c r="EF1" s="66"/>
      <c r="EG1" s="66"/>
      <c r="EH1" s="66"/>
      <c r="EI1" s="66"/>
      <c r="EJ1" s="66"/>
      <c r="EK1" s="66"/>
      <c r="EL1" s="66"/>
      <c r="EM1" s="66"/>
      <c r="EN1" s="66"/>
      <c r="EO1" s="66"/>
      <c r="EP1" s="66"/>
      <c r="EQ1" s="66"/>
      <c r="ER1" s="66"/>
      <c r="ES1" s="66"/>
      <c r="ET1" s="66"/>
      <c r="EU1" s="66"/>
      <c r="EV1" s="66"/>
      <c r="EW1" s="66"/>
      <c r="EX1" s="66"/>
      <c r="EY1" s="66"/>
      <c r="EZ1" s="66"/>
      <c r="FA1" s="66"/>
      <c r="FB1" s="66"/>
      <c r="FC1" s="66"/>
      <c r="FD1" s="66"/>
      <c r="FE1" s="66"/>
      <c r="FF1" s="66"/>
      <c r="FG1" s="66"/>
      <c r="FH1" s="66"/>
      <c r="FI1" s="66"/>
      <c r="FJ1" s="66"/>
      <c r="FK1" s="66"/>
      <c r="FL1" s="66"/>
      <c r="FM1" s="66"/>
      <c r="FN1" s="66"/>
      <c r="FO1" s="66"/>
      <c r="FP1" s="66"/>
      <c r="FQ1" s="66"/>
      <c r="FR1" s="66"/>
      <c r="FS1" s="66"/>
      <c r="FT1" s="66"/>
      <c r="FU1" s="66"/>
      <c r="FV1" s="66"/>
      <c r="FW1" s="66"/>
      <c r="FX1" s="66"/>
      <c r="FY1" s="66"/>
      <c r="FZ1" s="66"/>
      <c r="GA1" s="66"/>
      <c r="GB1" s="66"/>
      <c r="GC1" s="66"/>
      <c r="GD1" s="66"/>
      <c r="GE1" s="66"/>
      <c r="GF1" s="66"/>
      <c r="GG1" s="66"/>
      <c r="GH1" s="66"/>
      <c r="GI1" s="66"/>
      <c r="GJ1" s="66"/>
      <c r="GK1" s="66"/>
      <c r="GL1" s="66"/>
    </row>
    <row r="2" spans="1:194" ht="14.25" customHeight="1" x14ac:dyDescent="0.35">
      <c r="A2" s="65"/>
      <c r="B2" s="65"/>
      <c r="C2" s="66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6"/>
      <c r="AS2" s="66"/>
      <c r="AT2" s="66"/>
      <c r="AU2" s="66"/>
      <c r="AV2" s="66"/>
      <c r="AW2" s="66"/>
      <c r="AX2" s="66"/>
      <c r="AY2" s="66"/>
      <c r="AZ2" s="66"/>
      <c r="BA2" s="66"/>
      <c r="BB2" s="66"/>
      <c r="BC2" s="66"/>
      <c r="BD2" s="66"/>
      <c r="BE2" s="66"/>
      <c r="BF2" s="66"/>
      <c r="BG2" s="66"/>
      <c r="BH2" s="66"/>
      <c r="BI2" s="66"/>
      <c r="BJ2" s="66"/>
      <c r="BK2" s="66"/>
      <c r="BL2" s="66"/>
      <c r="BM2" s="66"/>
      <c r="BN2" s="66"/>
      <c r="BO2" s="66"/>
      <c r="BP2" s="66"/>
      <c r="BQ2" s="66"/>
      <c r="BR2" s="66"/>
      <c r="BS2" s="66"/>
      <c r="BT2" s="66"/>
      <c r="BU2" s="66"/>
      <c r="BV2" s="66"/>
      <c r="BW2" s="66"/>
      <c r="BX2" s="66"/>
      <c r="BY2" s="66"/>
      <c r="BZ2" s="66"/>
      <c r="CA2" s="66"/>
      <c r="CB2" s="66"/>
      <c r="CC2" s="66"/>
      <c r="CD2" s="66"/>
      <c r="CE2" s="66"/>
      <c r="CF2" s="66"/>
      <c r="CG2" s="66"/>
      <c r="CH2" s="66"/>
      <c r="CI2" s="66"/>
      <c r="CJ2" s="66"/>
      <c r="CK2" s="66"/>
      <c r="CL2" s="66"/>
      <c r="CM2" s="66"/>
      <c r="CN2" s="66"/>
      <c r="CO2" s="66"/>
      <c r="CP2" s="66"/>
      <c r="CQ2" s="66"/>
      <c r="CR2" s="66"/>
      <c r="CS2" s="66"/>
      <c r="CT2" s="66"/>
      <c r="CU2" s="66"/>
      <c r="CV2" s="66"/>
      <c r="CW2" s="66"/>
      <c r="CX2" s="66"/>
      <c r="CY2" s="66"/>
      <c r="CZ2" s="66"/>
      <c r="DA2" s="66"/>
      <c r="DB2" s="66"/>
      <c r="DC2" s="66"/>
      <c r="DD2" s="66"/>
      <c r="DE2" s="66"/>
      <c r="DF2" s="66"/>
      <c r="DG2" s="66"/>
      <c r="DH2" s="66"/>
      <c r="DI2" s="66"/>
      <c r="DJ2" s="66"/>
      <c r="DK2" s="66"/>
      <c r="DL2" s="66"/>
      <c r="DM2" s="66"/>
      <c r="DN2" s="66"/>
      <c r="DO2" s="66"/>
      <c r="DP2" s="66"/>
      <c r="DQ2" s="66"/>
      <c r="DR2" s="66"/>
      <c r="DS2" s="66"/>
      <c r="DT2" s="66"/>
      <c r="DU2" s="66"/>
      <c r="DV2" s="66"/>
      <c r="DW2" s="66"/>
      <c r="DX2" s="66"/>
      <c r="DY2" s="66"/>
      <c r="DZ2" s="66"/>
      <c r="EA2" s="66"/>
      <c r="EB2" s="66"/>
      <c r="EC2" s="66"/>
      <c r="ED2" s="66"/>
      <c r="EE2" s="66"/>
      <c r="EF2" s="66"/>
      <c r="EG2" s="66"/>
      <c r="EH2" s="66"/>
      <c r="EI2" s="66"/>
      <c r="EJ2" s="66"/>
      <c r="EK2" s="66"/>
      <c r="EL2" s="66"/>
      <c r="EM2" s="66"/>
      <c r="EN2" s="66"/>
      <c r="EO2" s="66"/>
      <c r="EP2" s="66"/>
      <c r="EQ2" s="66"/>
      <c r="ER2" s="66"/>
      <c r="ES2" s="66"/>
      <c r="ET2" s="66"/>
      <c r="EU2" s="66"/>
      <c r="EV2" s="66"/>
      <c r="EW2" s="66"/>
      <c r="EX2" s="66"/>
      <c r="EY2" s="66"/>
      <c r="EZ2" s="66"/>
      <c r="FA2" s="66"/>
      <c r="FB2" s="66"/>
      <c r="FC2" s="66"/>
      <c r="FD2" s="66"/>
      <c r="FE2" s="66"/>
      <c r="FF2" s="66"/>
      <c r="FG2" s="66"/>
      <c r="FH2" s="66"/>
      <c r="FI2" s="66"/>
      <c r="FJ2" s="66"/>
      <c r="FK2" s="66"/>
      <c r="FL2" s="66"/>
      <c r="FM2" s="66"/>
      <c r="FN2" s="66"/>
      <c r="FO2" s="66"/>
      <c r="FP2" s="66"/>
      <c r="FQ2" s="66"/>
      <c r="FR2" s="66"/>
      <c r="FS2" s="66"/>
      <c r="FT2" s="66"/>
      <c r="FU2" s="66"/>
      <c r="FV2" s="66"/>
      <c r="FW2" s="66"/>
      <c r="FX2" s="66"/>
      <c r="FY2" s="66"/>
      <c r="FZ2" s="66"/>
      <c r="GA2" s="66"/>
      <c r="GB2" s="66"/>
      <c r="GC2" s="66"/>
      <c r="GD2" s="66"/>
      <c r="GE2" s="66"/>
      <c r="GF2" s="66"/>
      <c r="GG2" s="66"/>
      <c r="GH2" s="66"/>
      <c r="GI2" s="66"/>
      <c r="GJ2" s="66"/>
      <c r="GK2" s="66"/>
      <c r="GL2" s="66"/>
    </row>
    <row r="3" spans="1:194" ht="14.25" customHeight="1" x14ac:dyDescent="0.35">
      <c r="A3" s="65"/>
      <c r="B3" s="65"/>
      <c r="C3" s="66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  <c r="AT3" s="66"/>
      <c r="AU3" s="66"/>
      <c r="AV3" s="66"/>
      <c r="AW3" s="66"/>
      <c r="AX3" s="66"/>
      <c r="AY3" s="66"/>
      <c r="AZ3" s="66"/>
      <c r="BA3" s="66"/>
      <c r="BB3" s="66"/>
      <c r="BC3" s="66"/>
      <c r="BD3" s="66"/>
      <c r="BE3" s="66"/>
      <c r="BF3" s="66"/>
      <c r="BG3" s="66"/>
      <c r="BH3" s="66"/>
      <c r="BI3" s="66"/>
      <c r="BJ3" s="66"/>
      <c r="BK3" s="66"/>
      <c r="BL3" s="66"/>
      <c r="BM3" s="66"/>
      <c r="BN3" s="66"/>
      <c r="BO3" s="66"/>
      <c r="BP3" s="66"/>
      <c r="BQ3" s="66"/>
      <c r="BR3" s="66"/>
      <c r="BS3" s="66"/>
      <c r="BT3" s="66"/>
      <c r="BU3" s="66"/>
      <c r="BV3" s="66"/>
      <c r="BW3" s="66"/>
      <c r="BX3" s="66"/>
      <c r="BY3" s="66"/>
      <c r="BZ3" s="66"/>
      <c r="CA3" s="66"/>
      <c r="CB3" s="66"/>
      <c r="CC3" s="66"/>
      <c r="CD3" s="66"/>
      <c r="CE3" s="66"/>
      <c r="CF3" s="66"/>
      <c r="CG3" s="66"/>
      <c r="CH3" s="66"/>
      <c r="CI3" s="66"/>
      <c r="CJ3" s="66"/>
      <c r="CK3" s="66"/>
      <c r="CL3" s="66"/>
      <c r="CM3" s="66"/>
      <c r="CN3" s="66"/>
      <c r="CO3" s="66"/>
      <c r="CP3" s="66"/>
      <c r="CQ3" s="66"/>
      <c r="CR3" s="66"/>
      <c r="CS3" s="66"/>
      <c r="CT3" s="66"/>
      <c r="CU3" s="66"/>
      <c r="CV3" s="66"/>
      <c r="CW3" s="66"/>
      <c r="CX3" s="66"/>
      <c r="CY3" s="66"/>
      <c r="CZ3" s="66"/>
      <c r="DA3" s="66"/>
      <c r="DB3" s="66"/>
      <c r="DC3" s="66"/>
      <c r="DD3" s="66"/>
      <c r="DE3" s="66"/>
      <c r="DF3" s="66"/>
      <c r="DG3" s="66"/>
      <c r="DH3" s="66"/>
      <c r="DI3" s="66"/>
      <c r="DJ3" s="66"/>
      <c r="DK3" s="66"/>
      <c r="DL3" s="66"/>
      <c r="DM3" s="66"/>
      <c r="DN3" s="66"/>
      <c r="DO3" s="66"/>
      <c r="DP3" s="66"/>
      <c r="DQ3" s="66"/>
      <c r="DR3" s="66"/>
      <c r="DS3" s="66"/>
      <c r="DT3" s="66"/>
      <c r="DU3" s="66"/>
      <c r="DV3" s="66"/>
      <c r="DW3" s="66"/>
      <c r="DX3" s="66"/>
      <c r="DY3" s="66"/>
      <c r="DZ3" s="66"/>
      <c r="EA3" s="66"/>
      <c r="EB3" s="66"/>
      <c r="EC3" s="66"/>
      <c r="ED3" s="66"/>
      <c r="EE3" s="66"/>
      <c r="EF3" s="66"/>
      <c r="EG3" s="66"/>
      <c r="EH3" s="66"/>
      <c r="EI3" s="66"/>
      <c r="EJ3" s="66"/>
      <c r="EK3" s="66"/>
      <c r="EL3" s="66"/>
      <c r="EM3" s="66"/>
      <c r="EN3" s="66"/>
      <c r="EO3" s="66"/>
      <c r="EP3" s="66"/>
      <c r="EQ3" s="66"/>
      <c r="ER3" s="66"/>
      <c r="ES3" s="66"/>
      <c r="ET3" s="66"/>
      <c r="EU3" s="66"/>
      <c r="EV3" s="66"/>
      <c r="EW3" s="66"/>
      <c r="EX3" s="66"/>
      <c r="EY3" s="66"/>
      <c r="EZ3" s="66"/>
      <c r="FA3" s="66"/>
      <c r="FB3" s="66"/>
      <c r="FC3" s="66"/>
      <c r="FD3" s="66"/>
      <c r="FE3" s="66"/>
      <c r="FF3" s="66"/>
      <c r="FG3" s="66"/>
      <c r="FH3" s="66"/>
      <c r="FI3" s="66"/>
      <c r="FJ3" s="66"/>
      <c r="FK3" s="66"/>
      <c r="FL3" s="66"/>
      <c r="FM3" s="66"/>
      <c r="FN3" s="66"/>
      <c r="FO3" s="66"/>
      <c r="FP3" s="66"/>
      <c r="FQ3" s="66"/>
      <c r="FR3" s="66"/>
      <c r="FS3" s="66"/>
      <c r="FT3" s="66"/>
      <c r="FU3" s="66"/>
      <c r="FV3" s="66"/>
      <c r="FW3" s="66"/>
      <c r="FX3" s="66"/>
      <c r="FY3" s="66"/>
      <c r="FZ3" s="66"/>
      <c r="GA3" s="66"/>
      <c r="GB3" s="66"/>
      <c r="GC3" s="66"/>
      <c r="GD3" s="66"/>
      <c r="GE3" s="66"/>
      <c r="GF3" s="66"/>
      <c r="GG3" s="66"/>
      <c r="GH3" s="66"/>
      <c r="GI3" s="66"/>
      <c r="GJ3" s="66"/>
      <c r="GK3" s="66"/>
      <c r="GL3" s="66"/>
    </row>
    <row r="4" spans="1:194" ht="14.25" customHeight="1" x14ac:dyDescent="0.35">
      <c r="A4" s="65"/>
      <c r="B4" s="65"/>
      <c r="C4" s="66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6"/>
      <c r="BK4" s="66"/>
      <c r="BL4" s="66"/>
      <c r="BM4" s="66"/>
      <c r="BN4" s="66"/>
      <c r="BO4" s="66"/>
      <c r="BP4" s="66"/>
      <c r="BQ4" s="66"/>
      <c r="BR4" s="66"/>
      <c r="BS4" s="66"/>
      <c r="BT4" s="66"/>
      <c r="BU4" s="66"/>
      <c r="BV4" s="66"/>
      <c r="BW4" s="66"/>
      <c r="BX4" s="66"/>
      <c r="BY4" s="66"/>
      <c r="BZ4" s="66"/>
      <c r="CA4" s="66"/>
      <c r="CB4" s="66"/>
      <c r="CC4" s="66"/>
      <c r="CD4" s="66"/>
      <c r="CE4" s="66"/>
      <c r="CF4" s="66"/>
      <c r="CG4" s="66"/>
      <c r="CH4" s="66"/>
      <c r="CI4" s="66"/>
      <c r="CJ4" s="66"/>
      <c r="CK4" s="66"/>
      <c r="CL4" s="66"/>
      <c r="CM4" s="66"/>
      <c r="CN4" s="66"/>
      <c r="CO4" s="66"/>
      <c r="CP4" s="66"/>
      <c r="CQ4" s="66"/>
      <c r="CR4" s="66"/>
      <c r="CS4" s="66"/>
      <c r="CT4" s="66"/>
      <c r="CU4" s="66"/>
      <c r="CV4" s="66"/>
      <c r="CW4" s="66"/>
      <c r="CX4" s="66"/>
      <c r="CY4" s="66"/>
      <c r="CZ4" s="66"/>
      <c r="DA4" s="66"/>
      <c r="DB4" s="66"/>
      <c r="DC4" s="66"/>
      <c r="DD4" s="66"/>
      <c r="DE4" s="66"/>
      <c r="DF4" s="66"/>
      <c r="DG4" s="66"/>
      <c r="DH4" s="66"/>
      <c r="DI4" s="66"/>
      <c r="DJ4" s="66"/>
      <c r="DK4" s="66"/>
      <c r="DL4" s="66"/>
      <c r="DM4" s="66"/>
      <c r="DN4" s="66"/>
      <c r="DO4" s="66"/>
      <c r="DP4" s="66"/>
      <c r="DQ4" s="66"/>
      <c r="DR4" s="66"/>
      <c r="DS4" s="66"/>
      <c r="DT4" s="66"/>
      <c r="DU4" s="66"/>
      <c r="DV4" s="66"/>
      <c r="DW4" s="66"/>
      <c r="DX4" s="66"/>
      <c r="DY4" s="66"/>
      <c r="DZ4" s="66"/>
      <c r="EA4" s="66"/>
      <c r="EB4" s="66"/>
      <c r="EC4" s="66"/>
      <c r="ED4" s="66"/>
      <c r="EE4" s="66"/>
      <c r="EF4" s="66"/>
      <c r="EG4" s="66"/>
      <c r="EH4" s="66"/>
      <c r="EI4" s="66"/>
      <c r="EJ4" s="66"/>
      <c r="EK4" s="66"/>
      <c r="EL4" s="66"/>
      <c r="EM4" s="66"/>
      <c r="EN4" s="66"/>
      <c r="EO4" s="66"/>
      <c r="EP4" s="66"/>
      <c r="EQ4" s="66"/>
      <c r="ER4" s="66"/>
      <c r="ES4" s="66"/>
      <c r="ET4" s="66"/>
      <c r="EU4" s="66"/>
      <c r="EV4" s="66"/>
      <c r="EW4" s="66"/>
      <c r="EX4" s="66"/>
      <c r="EY4" s="66"/>
      <c r="EZ4" s="66"/>
      <c r="FA4" s="66"/>
      <c r="FB4" s="66"/>
      <c r="FC4" s="66"/>
      <c r="FD4" s="66"/>
      <c r="FE4" s="66"/>
      <c r="FF4" s="66"/>
      <c r="FG4" s="66"/>
      <c r="FH4" s="66"/>
      <c r="FI4" s="66"/>
      <c r="FJ4" s="66"/>
      <c r="FK4" s="66"/>
      <c r="FL4" s="66"/>
      <c r="FM4" s="66"/>
      <c r="FN4" s="66"/>
      <c r="FO4" s="66"/>
      <c r="FP4" s="66"/>
      <c r="FQ4" s="66"/>
      <c r="FR4" s="66"/>
      <c r="FS4" s="66"/>
      <c r="FT4" s="66"/>
      <c r="FU4" s="66"/>
      <c r="FV4" s="66"/>
      <c r="FW4" s="66"/>
      <c r="FX4" s="66"/>
      <c r="FY4" s="66"/>
      <c r="FZ4" s="66"/>
      <c r="GA4" s="66"/>
      <c r="GB4" s="66"/>
      <c r="GC4" s="66"/>
      <c r="GD4" s="66"/>
      <c r="GE4" s="66"/>
      <c r="GF4" s="66"/>
      <c r="GG4" s="66"/>
      <c r="GH4" s="66"/>
      <c r="GI4" s="66"/>
      <c r="GJ4" s="66"/>
      <c r="GK4" s="66"/>
      <c r="GL4" s="66"/>
    </row>
    <row r="5" spans="1:194" ht="14.25" customHeight="1" x14ac:dyDescent="0.35">
      <c r="A5" s="65"/>
      <c r="B5" s="65"/>
      <c r="C5" s="66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6"/>
      <c r="AQ5" s="66"/>
      <c r="AR5" s="66"/>
      <c r="AS5" s="66"/>
      <c r="AT5" s="66"/>
      <c r="AU5" s="66"/>
      <c r="AV5" s="66"/>
      <c r="AW5" s="66"/>
      <c r="AX5" s="66"/>
      <c r="AY5" s="66"/>
      <c r="AZ5" s="66"/>
      <c r="BA5" s="66"/>
      <c r="BB5" s="66"/>
      <c r="BC5" s="66"/>
      <c r="BD5" s="66"/>
      <c r="BE5" s="66"/>
      <c r="BF5" s="66"/>
      <c r="BG5" s="66"/>
      <c r="BH5" s="66"/>
      <c r="BI5" s="66"/>
      <c r="BJ5" s="66"/>
      <c r="BK5" s="66"/>
      <c r="BL5" s="66"/>
      <c r="BM5" s="66"/>
      <c r="BN5" s="66"/>
      <c r="BO5" s="66"/>
      <c r="BP5" s="66"/>
      <c r="BQ5" s="66"/>
      <c r="BR5" s="66"/>
      <c r="BS5" s="66"/>
      <c r="BT5" s="66"/>
      <c r="BU5" s="66"/>
      <c r="BV5" s="66"/>
      <c r="BW5" s="66"/>
      <c r="BX5" s="66"/>
      <c r="BY5" s="66"/>
      <c r="BZ5" s="66"/>
      <c r="CA5" s="66"/>
      <c r="CB5" s="66"/>
      <c r="CC5" s="66"/>
      <c r="CD5" s="66"/>
      <c r="CE5" s="66"/>
      <c r="CF5" s="66"/>
      <c r="CG5" s="66"/>
      <c r="CH5" s="66"/>
      <c r="CI5" s="66"/>
      <c r="CJ5" s="66"/>
      <c r="CK5" s="66"/>
      <c r="CL5" s="66"/>
      <c r="CM5" s="66"/>
      <c r="CN5" s="66"/>
      <c r="CO5" s="66"/>
      <c r="CP5" s="66"/>
      <c r="CQ5" s="66"/>
      <c r="CR5" s="66"/>
      <c r="CS5" s="66"/>
      <c r="CT5" s="66"/>
      <c r="CU5" s="66"/>
      <c r="CV5" s="66"/>
      <c r="CW5" s="66"/>
      <c r="CX5" s="66"/>
      <c r="CY5" s="66"/>
      <c r="CZ5" s="66"/>
      <c r="DA5" s="66"/>
      <c r="DB5" s="66"/>
      <c r="DC5" s="66"/>
      <c r="DD5" s="66"/>
      <c r="DE5" s="66"/>
      <c r="DF5" s="66"/>
      <c r="DG5" s="66"/>
      <c r="DH5" s="66"/>
      <c r="DI5" s="66"/>
      <c r="DJ5" s="66"/>
      <c r="DK5" s="66"/>
      <c r="DL5" s="66"/>
      <c r="DM5" s="66"/>
      <c r="DN5" s="66"/>
      <c r="DO5" s="66"/>
      <c r="DP5" s="66"/>
      <c r="DQ5" s="66"/>
      <c r="DR5" s="66"/>
      <c r="DS5" s="66"/>
      <c r="DT5" s="66"/>
      <c r="DU5" s="66"/>
      <c r="DV5" s="66"/>
      <c r="DW5" s="66"/>
      <c r="DX5" s="66"/>
      <c r="DY5" s="66"/>
      <c r="DZ5" s="66"/>
      <c r="EA5" s="66"/>
      <c r="EB5" s="66"/>
      <c r="EC5" s="66"/>
      <c r="ED5" s="66"/>
      <c r="EE5" s="66"/>
      <c r="EF5" s="66"/>
      <c r="EG5" s="66"/>
      <c r="EH5" s="66"/>
      <c r="EI5" s="66"/>
      <c r="EJ5" s="66"/>
      <c r="EK5" s="66"/>
      <c r="EL5" s="66"/>
      <c r="EM5" s="66"/>
      <c r="EN5" s="66"/>
      <c r="EO5" s="66"/>
      <c r="EP5" s="66"/>
      <c r="EQ5" s="66"/>
      <c r="ER5" s="66"/>
      <c r="ES5" s="66"/>
      <c r="ET5" s="66"/>
      <c r="EU5" s="66"/>
      <c r="EV5" s="66"/>
      <c r="EW5" s="66"/>
      <c r="EX5" s="66"/>
      <c r="EY5" s="66"/>
      <c r="EZ5" s="66"/>
      <c r="FA5" s="66"/>
      <c r="FB5" s="66"/>
      <c r="FC5" s="66"/>
      <c r="FD5" s="66"/>
      <c r="FE5" s="66"/>
      <c r="FF5" s="66"/>
      <c r="FG5" s="66"/>
      <c r="FH5" s="66"/>
      <c r="FI5" s="66"/>
      <c r="FJ5" s="66"/>
      <c r="FK5" s="66"/>
      <c r="FL5" s="66"/>
      <c r="FM5" s="66"/>
      <c r="FN5" s="66"/>
      <c r="FO5" s="66"/>
      <c r="FP5" s="66"/>
      <c r="FQ5" s="66"/>
      <c r="FR5" s="66"/>
      <c r="FS5" s="66"/>
      <c r="FT5" s="66"/>
      <c r="FU5" s="66"/>
      <c r="FV5" s="66"/>
      <c r="FW5" s="66"/>
      <c r="FX5" s="66"/>
      <c r="FY5" s="66"/>
      <c r="FZ5" s="66"/>
      <c r="GA5" s="66"/>
      <c r="GB5" s="66"/>
      <c r="GC5" s="66"/>
      <c r="GD5" s="66"/>
      <c r="GE5" s="66"/>
      <c r="GF5" s="66"/>
      <c r="GG5" s="66"/>
      <c r="GH5" s="66"/>
      <c r="GI5" s="66"/>
      <c r="GJ5" s="66"/>
      <c r="GK5" s="66"/>
      <c r="GL5" s="66"/>
    </row>
    <row r="6" spans="1:194" ht="14.25" customHeight="1" x14ac:dyDescent="0.35">
      <c r="A6" s="95" t="s">
        <v>371</v>
      </c>
      <c r="B6" s="96"/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6"/>
      <c r="AQ6" s="96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6"/>
      <c r="BF6" s="96"/>
      <c r="BG6" s="96"/>
      <c r="BH6" s="96"/>
      <c r="BI6" s="96"/>
      <c r="BJ6" s="96"/>
      <c r="BK6" s="96"/>
      <c r="BL6" s="96"/>
      <c r="BM6" s="96"/>
      <c r="BN6" s="96"/>
      <c r="BO6" s="96"/>
      <c r="BP6" s="96"/>
      <c r="BQ6" s="96"/>
      <c r="BR6" s="96"/>
      <c r="BS6" s="96"/>
      <c r="BT6" s="96"/>
      <c r="BU6" s="96"/>
      <c r="BV6" s="96"/>
      <c r="BW6" s="96"/>
      <c r="BX6" s="96"/>
      <c r="BY6" s="96"/>
      <c r="BZ6" s="96"/>
      <c r="CA6" s="96"/>
      <c r="CB6" s="96"/>
      <c r="CC6" s="96"/>
      <c r="CD6" s="96"/>
      <c r="CE6" s="96"/>
      <c r="CF6" s="96"/>
      <c r="CG6" s="96"/>
      <c r="CH6" s="96"/>
      <c r="CI6" s="96"/>
      <c r="CJ6" s="96"/>
      <c r="CK6" s="96"/>
      <c r="CL6" s="96"/>
      <c r="CM6" s="96"/>
      <c r="CN6" s="96"/>
      <c r="CO6" s="96"/>
      <c r="CP6" s="96"/>
      <c r="CQ6" s="96"/>
      <c r="CR6" s="96"/>
      <c r="CS6" s="96"/>
      <c r="CT6" s="96"/>
      <c r="CU6" s="96"/>
      <c r="CV6" s="96"/>
      <c r="CW6" s="96"/>
      <c r="CX6" s="96"/>
      <c r="CY6" s="96"/>
      <c r="CZ6" s="96"/>
      <c r="DA6" s="96"/>
      <c r="DB6" s="96"/>
      <c r="DC6" s="96"/>
      <c r="DD6" s="96"/>
      <c r="DE6" s="96"/>
      <c r="DF6" s="96"/>
      <c r="DG6" s="96"/>
      <c r="DH6" s="96"/>
      <c r="DI6" s="96"/>
      <c r="DJ6" s="96"/>
      <c r="DK6" s="96"/>
      <c r="DL6" s="96"/>
      <c r="DM6" s="96"/>
      <c r="DN6" s="96"/>
      <c r="DO6" s="96"/>
      <c r="DP6" s="96"/>
      <c r="DQ6" s="96"/>
      <c r="DR6" s="96"/>
      <c r="DS6" s="96"/>
      <c r="DT6" s="96"/>
      <c r="DU6" s="96"/>
      <c r="DV6" s="96"/>
      <c r="DW6" s="96"/>
      <c r="DX6" s="96"/>
      <c r="DY6" s="96"/>
      <c r="DZ6" s="96"/>
      <c r="EA6" s="96"/>
      <c r="EB6" s="96"/>
      <c r="EC6" s="96"/>
      <c r="ED6" s="96"/>
      <c r="EE6" s="96"/>
      <c r="EF6" s="96"/>
      <c r="EG6" s="96"/>
      <c r="EH6" s="96"/>
      <c r="EI6" s="96"/>
      <c r="EJ6" s="96"/>
      <c r="EK6" s="96"/>
      <c r="EL6" s="96"/>
      <c r="EM6" s="96"/>
      <c r="EN6" s="96"/>
      <c r="EO6" s="96"/>
      <c r="EP6" s="96"/>
      <c r="EQ6" s="96"/>
      <c r="ER6" s="96"/>
      <c r="ES6" s="96"/>
      <c r="ET6" s="96"/>
      <c r="EU6" s="96"/>
      <c r="EV6" s="96"/>
      <c r="EW6" s="96"/>
      <c r="EX6" s="96"/>
      <c r="EY6" s="96"/>
      <c r="EZ6" s="96"/>
      <c r="FA6" s="96"/>
      <c r="FB6" s="96"/>
      <c r="FC6" s="96"/>
      <c r="FD6" s="96"/>
      <c r="FE6" s="96"/>
      <c r="FF6" s="96"/>
      <c r="FG6" s="96"/>
      <c r="FH6" s="96"/>
      <c r="FI6" s="96"/>
      <c r="FJ6" s="96"/>
      <c r="FK6" s="96"/>
      <c r="FL6" s="96"/>
      <c r="FM6" s="96"/>
      <c r="FN6" s="96"/>
      <c r="FO6" s="96"/>
      <c r="FP6" s="96"/>
      <c r="FQ6" s="96"/>
      <c r="FR6" s="96"/>
      <c r="FS6" s="96"/>
      <c r="FT6" s="96"/>
      <c r="FU6" s="96"/>
      <c r="FV6" s="96"/>
      <c r="FW6" s="96"/>
      <c r="FX6" s="96"/>
      <c r="FY6" s="96"/>
      <c r="FZ6" s="96"/>
      <c r="GA6" s="96"/>
      <c r="GB6" s="96"/>
      <c r="GC6" s="96"/>
      <c r="GD6" s="96"/>
      <c r="GE6" s="96"/>
      <c r="GF6" s="96"/>
      <c r="GG6" s="96"/>
      <c r="GH6" s="96"/>
      <c r="GI6" s="96"/>
      <c r="GJ6" s="96"/>
      <c r="GK6" s="96"/>
      <c r="GL6" s="97"/>
    </row>
    <row r="7" spans="1:194" ht="14.25" customHeight="1" x14ac:dyDescent="0.35">
      <c r="A7" s="98"/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89"/>
      <c r="AQ7" s="89"/>
      <c r="AR7" s="89"/>
      <c r="AS7" s="89"/>
      <c r="AT7" s="89"/>
      <c r="AU7" s="89"/>
      <c r="AV7" s="89"/>
      <c r="AW7" s="89"/>
      <c r="AX7" s="89"/>
      <c r="AY7" s="89"/>
      <c r="AZ7" s="89"/>
      <c r="BA7" s="89"/>
      <c r="BB7" s="89"/>
      <c r="BC7" s="89"/>
      <c r="BD7" s="89"/>
      <c r="BE7" s="89"/>
      <c r="BF7" s="89"/>
      <c r="BG7" s="89"/>
      <c r="BH7" s="89"/>
      <c r="BI7" s="89"/>
      <c r="BJ7" s="89"/>
      <c r="BK7" s="89"/>
      <c r="BL7" s="89"/>
      <c r="BM7" s="89"/>
      <c r="BN7" s="89"/>
      <c r="BO7" s="89"/>
      <c r="BP7" s="89"/>
      <c r="BQ7" s="89"/>
      <c r="BR7" s="89"/>
      <c r="BS7" s="89"/>
      <c r="BT7" s="89"/>
      <c r="BU7" s="89"/>
      <c r="BV7" s="89"/>
      <c r="BW7" s="89"/>
      <c r="BX7" s="89"/>
      <c r="BY7" s="89"/>
      <c r="BZ7" s="89"/>
      <c r="CA7" s="89"/>
      <c r="CB7" s="89"/>
      <c r="CC7" s="89"/>
      <c r="CD7" s="89"/>
      <c r="CE7" s="89"/>
      <c r="CF7" s="89"/>
      <c r="CG7" s="89"/>
      <c r="CH7" s="89"/>
      <c r="CI7" s="89"/>
      <c r="CJ7" s="89"/>
      <c r="CK7" s="89"/>
      <c r="CL7" s="89"/>
      <c r="CM7" s="89"/>
      <c r="CN7" s="89"/>
      <c r="CO7" s="89"/>
      <c r="CP7" s="89"/>
      <c r="CQ7" s="89"/>
      <c r="CR7" s="89"/>
      <c r="CS7" s="89"/>
      <c r="CT7" s="89"/>
      <c r="CU7" s="89"/>
      <c r="CV7" s="89"/>
      <c r="CW7" s="89"/>
      <c r="CX7" s="89"/>
      <c r="CY7" s="89"/>
      <c r="CZ7" s="89"/>
      <c r="DA7" s="89"/>
      <c r="DB7" s="89"/>
      <c r="DC7" s="89"/>
      <c r="DD7" s="89"/>
      <c r="DE7" s="89"/>
      <c r="DF7" s="89"/>
      <c r="DG7" s="89"/>
      <c r="DH7" s="89"/>
      <c r="DI7" s="89"/>
      <c r="DJ7" s="89"/>
      <c r="DK7" s="89"/>
      <c r="DL7" s="89"/>
      <c r="DM7" s="89"/>
      <c r="DN7" s="89"/>
      <c r="DO7" s="89"/>
      <c r="DP7" s="89"/>
      <c r="DQ7" s="89"/>
      <c r="DR7" s="89"/>
      <c r="DS7" s="89"/>
      <c r="DT7" s="89"/>
      <c r="DU7" s="89"/>
      <c r="DV7" s="89"/>
      <c r="DW7" s="89"/>
      <c r="DX7" s="89"/>
      <c r="DY7" s="89"/>
      <c r="DZ7" s="89"/>
      <c r="EA7" s="89"/>
      <c r="EB7" s="89"/>
      <c r="EC7" s="89"/>
      <c r="ED7" s="89"/>
      <c r="EE7" s="89"/>
      <c r="EF7" s="89"/>
      <c r="EG7" s="89"/>
      <c r="EH7" s="89"/>
      <c r="EI7" s="89"/>
      <c r="EJ7" s="89"/>
      <c r="EK7" s="89"/>
      <c r="EL7" s="89"/>
      <c r="EM7" s="89"/>
      <c r="EN7" s="89"/>
      <c r="EO7" s="89"/>
      <c r="EP7" s="89"/>
      <c r="EQ7" s="89"/>
      <c r="ER7" s="89"/>
      <c r="ES7" s="89"/>
      <c r="ET7" s="89"/>
      <c r="EU7" s="89"/>
      <c r="EV7" s="89"/>
      <c r="EW7" s="89"/>
      <c r="EX7" s="89"/>
      <c r="EY7" s="89"/>
      <c r="EZ7" s="89"/>
      <c r="FA7" s="89"/>
      <c r="FB7" s="89"/>
      <c r="FC7" s="89"/>
      <c r="FD7" s="89"/>
      <c r="FE7" s="89"/>
      <c r="FF7" s="89"/>
      <c r="FG7" s="89"/>
      <c r="FH7" s="89"/>
      <c r="FI7" s="89"/>
      <c r="FJ7" s="89"/>
      <c r="FK7" s="89"/>
      <c r="FL7" s="89"/>
      <c r="FM7" s="89"/>
      <c r="FN7" s="89"/>
      <c r="FO7" s="89"/>
      <c r="FP7" s="89"/>
      <c r="FQ7" s="89"/>
      <c r="FR7" s="89"/>
      <c r="FS7" s="89"/>
      <c r="FT7" s="89"/>
      <c r="FU7" s="89"/>
      <c r="FV7" s="89"/>
      <c r="FW7" s="89"/>
      <c r="FX7" s="89"/>
      <c r="FY7" s="89"/>
      <c r="FZ7" s="89"/>
      <c r="GA7" s="89"/>
      <c r="GB7" s="89"/>
      <c r="GC7" s="89"/>
      <c r="GD7" s="89"/>
      <c r="GE7" s="89"/>
      <c r="GF7" s="89"/>
      <c r="GG7" s="89"/>
      <c r="GH7" s="89"/>
      <c r="GI7" s="89"/>
      <c r="GJ7" s="89"/>
      <c r="GK7" s="89"/>
      <c r="GL7" s="99"/>
    </row>
    <row r="8" spans="1:194" ht="14.25" customHeight="1" x14ac:dyDescent="0.35">
      <c r="A8" s="98"/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89"/>
      <c r="AV8" s="89"/>
      <c r="AW8" s="89"/>
      <c r="AX8" s="89"/>
      <c r="AY8" s="89"/>
      <c r="AZ8" s="89"/>
      <c r="BA8" s="89"/>
      <c r="BB8" s="89"/>
      <c r="BC8" s="89"/>
      <c r="BD8" s="89"/>
      <c r="BE8" s="89"/>
      <c r="BF8" s="89"/>
      <c r="BG8" s="89"/>
      <c r="BH8" s="89"/>
      <c r="BI8" s="89"/>
      <c r="BJ8" s="89"/>
      <c r="BK8" s="89"/>
      <c r="BL8" s="89"/>
      <c r="BM8" s="89"/>
      <c r="BN8" s="89"/>
      <c r="BO8" s="89"/>
      <c r="BP8" s="89"/>
      <c r="BQ8" s="89"/>
      <c r="BR8" s="89"/>
      <c r="BS8" s="89"/>
      <c r="BT8" s="89"/>
      <c r="BU8" s="89"/>
      <c r="BV8" s="89"/>
      <c r="BW8" s="89"/>
      <c r="BX8" s="89"/>
      <c r="BY8" s="89"/>
      <c r="BZ8" s="89"/>
      <c r="CA8" s="89"/>
      <c r="CB8" s="89"/>
      <c r="CC8" s="89"/>
      <c r="CD8" s="89"/>
      <c r="CE8" s="89"/>
      <c r="CF8" s="89"/>
      <c r="CG8" s="89"/>
      <c r="CH8" s="89"/>
      <c r="CI8" s="89"/>
      <c r="CJ8" s="89"/>
      <c r="CK8" s="89"/>
      <c r="CL8" s="89"/>
      <c r="CM8" s="89"/>
      <c r="CN8" s="89"/>
      <c r="CO8" s="89"/>
      <c r="CP8" s="89"/>
      <c r="CQ8" s="89"/>
      <c r="CR8" s="89"/>
      <c r="CS8" s="89"/>
      <c r="CT8" s="89"/>
      <c r="CU8" s="89"/>
      <c r="CV8" s="89"/>
      <c r="CW8" s="89"/>
      <c r="CX8" s="89"/>
      <c r="CY8" s="89"/>
      <c r="CZ8" s="89"/>
      <c r="DA8" s="89"/>
      <c r="DB8" s="89"/>
      <c r="DC8" s="89"/>
      <c r="DD8" s="89"/>
      <c r="DE8" s="89"/>
      <c r="DF8" s="89"/>
      <c r="DG8" s="89"/>
      <c r="DH8" s="89"/>
      <c r="DI8" s="89"/>
      <c r="DJ8" s="89"/>
      <c r="DK8" s="89"/>
      <c r="DL8" s="89"/>
      <c r="DM8" s="89"/>
      <c r="DN8" s="89"/>
      <c r="DO8" s="89"/>
      <c r="DP8" s="89"/>
      <c r="DQ8" s="89"/>
      <c r="DR8" s="89"/>
      <c r="DS8" s="89"/>
      <c r="DT8" s="89"/>
      <c r="DU8" s="89"/>
      <c r="DV8" s="89"/>
      <c r="DW8" s="89"/>
      <c r="DX8" s="89"/>
      <c r="DY8" s="89"/>
      <c r="DZ8" s="89"/>
      <c r="EA8" s="89"/>
      <c r="EB8" s="89"/>
      <c r="EC8" s="89"/>
      <c r="ED8" s="89"/>
      <c r="EE8" s="89"/>
      <c r="EF8" s="89"/>
      <c r="EG8" s="89"/>
      <c r="EH8" s="89"/>
      <c r="EI8" s="89"/>
      <c r="EJ8" s="89"/>
      <c r="EK8" s="89"/>
      <c r="EL8" s="89"/>
      <c r="EM8" s="89"/>
      <c r="EN8" s="89"/>
      <c r="EO8" s="89"/>
      <c r="EP8" s="89"/>
      <c r="EQ8" s="89"/>
      <c r="ER8" s="89"/>
      <c r="ES8" s="89"/>
      <c r="ET8" s="89"/>
      <c r="EU8" s="89"/>
      <c r="EV8" s="89"/>
      <c r="EW8" s="89"/>
      <c r="EX8" s="89"/>
      <c r="EY8" s="89"/>
      <c r="EZ8" s="89"/>
      <c r="FA8" s="89"/>
      <c r="FB8" s="89"/>
      <c r="FC8" s="89"/>
      <c r="FD8" s="89"/>
      <c r="FE8" s="89"/>
      <c r="FF8" s="89"/>
      <c r="FG8" s="89"/>
      <c r="FH8" s="89"/>
      <c r="FI8" s="89"/>
      <c r="FJ8" s="89"/>
      <c r="FK8" s="89"/>
      <c r="FL8" s="89"/>
      <c r="FM8" s="89"/>
      <c r="FN8" s="89"/>
      <c r="FO8" s="89"/>
      <c r="FP8" s="89"/>
      <c r="FQ8" s="89"/>
      <c r="FR8" s="89"/>
      <c r="FS8" s="89"/>
      <c r="FT8" s="89"/>
      <c r="FU8" s="89"/>
      <c r="FV8" s="89"/>
      <c r="FW8" s="89"/>
      <c r="FX8" s="89"/>
      <c r="FY8" s="89"/>
      <c r="FZ8" s="89"/>
      <c r="GA8" s="89"/>
      <c r="GB8" s="89"/>
      <c r="GC8" s="89"/>
      <c r="GD8" s="89"/>
      <c r="GE8" s="89"/>
      <c r="GF8" s="89"/>
      <c r="GG8" s="89"/>
      <c r="GH8" s="89"/>
      <c r="GI8" s="89"/>
      <c r="GJ8" s="89"/>
      <c r="GK8" s="89"/>
      <c r="GL8" s="99"/>
    </row>
    <row r="9" spans="1:194" ht="14.25" customHeight="1" x14ac:dyDescent="0.35">
      <c r="A9" s="100"/>
      <c r="B9" s="92"/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2"/>
      <c r="BD9" s="92"/>
      <c r="BE9" s="92"/>
      <c r="BF9" s="92"/>
      <c r="BG9" s="92"/>
      <c r="BH9" s="92"/>
      <c r="BI9" s="92"/>
      <c r="BJ9" s="92"/>
      <c r="BK9" s="92"/>
      <c r="BL9" s="92"/>
      <c r="BM9" s="92"/>
      <c r="BN9" s="92"/>
      <c r="BO9" s="92"/>
      <c r="BP9" s="92"/>
      <c r="BQ9" s="92"/>
      <c r="BR9" s="92"/>
      <c r="BS9" s="92"/>
      <c r="BT9" s="92"/>
      <c r="BU9" s="92"/>
      <c r="BV9" s="92"/>
      <c r="BW9" s="92"/>
      <c r="BX9" s="92"/>
      <c r="BY9" s="92"/>
      <c r="BZ9" s="92"/>
      <c r="CA9" s="92"/>
      <c r="CB9" s="92"/>
      <c r="CC9" s="92"/>
      <c r="CD9" s="92"/>
      <c r="CE9" s="92"/>
      <c r="CF9" s="92"/>
      <c r="CG9" s="92"/>
      <c r="CH9" s="92"/>
      <c r="CI9" s="92"/>
      <c r="CJ9" s="92"/>
      <c r="CK9" s="92"/>
      <c r="CL9" s="92"/>
      <c r="CM9" s="92"/>
      <c r="CN9" s="92"/>
      <c r="CO9" s="92"/>
      <c r="CP9" s="92"/>
      <c r="CQ9" s="92"/>
      <c r="CR9" s="92"/>
      <c r="CS9" s="92"/>
      <c r="CT9" s="92"/>
      <c r="CU9" s="92"/>
      <c r="CV9" s="92"/>
      <c r="CW9" s="92"/>
      <c r="CX9" s="92"/>
      <c r="CY9" s="92"/>
      <c r="CZ9" s="92"/>
      <c r="DA9" s="92"/>
      <c r="DB9" s="92"/>
      <c r="DC9" s="92"/>
      <c r="DD9" s="92"/>
      <c r="DE9" s="92"/>
      <c r="DF9" s="92"/>
      <c r="DG9" s="92"/>
      <c r="DH9" s="92"/>
      <c r="DI9" s="92"/>
      <c r="DJ9" s="92"/>
      <c r="DK9" s="92"/>
      <c r="DL9" s="92"/>
      <c r="DM9" s="92"/>
      <c r="DN9" s="92"/>
      <c r="DO9" s="92"/>
      <c r="DP9" s="92"/>
      <c r="DQ9" s="92"/>
      <c r="DR9" s="92"/>
      <c r="DS9" s="92"/>
      <c r="DT9" s="92"/>
      <c r="DU9" s="92"/>
      <c r="DV9" s="92"/>
      <c r="DW9" s="92"/>
      <c r="DX9" s="92"/>
      <c r="DY9" s="92"/>
      <c r="DZ9" s="92"/>
      <c r="EA9" s="92"/>
      <c r="EB9" s="92"/>
      <c r="EC9" s="92"/>
      <c r="ED9" s="92"/>
      <c r="EE9" s="92"/>
      <c r="EF9" s="92"/>
      <c r="EG9" s="92"/>
      <c r="EH9" s="92"/>
      <c r="EI9" s="92"/>
      <c r="EJ9" s="92"/>
      <c r="EK9" s="92"/>
      <c r="EL9" s="92"/>
      <c r="EM9" s="92"/>
      <c r="EN9" s="92"/>
      <c r="EO9" s="92"/>
      <c r="EP9" s="92"/>
      <c r="EQ9" s="92"/>
      <c r="ER9" s="92"/>
      <c r="ES9" s="92"/>
      <c r="ET9" s="92"/>
      <c r="EU9" s="92"/>
      <c r="EV9" s="92"/>
      <c r="EW9" s="92"/>
      <c r="EX9" s="92"/>
      <c r="EY9" s="92"/>
      <c r="EZ9" s="92"/>
      <c r="FA9" s="92"/>
      <c r="FB9" s="92"/>
      <c r="FC9" s="92"/>
      <c r="FD9" s="92"/>
      <c r="FE9" s="92"/>
      <c r="FF9" s="92"/>
      <c r="FG9" s="92"/>
      <c r="FH9" s="92"/>
      <c r="FI9" s="92"/>
      <c r="FJ9" s="92"/>
      <c r="FK9" s="92"/>
      <c r="FL9" s="92"/>
      <c r="FM9" s="92"/>
      <c r="FN9" s="92"/>
      <c r="FO9" s="92"/>
      <c r="FP9" s="92"/>
      <c r="FQ9" s="92"/>
      <c r="FR9" s="92"/>
      <c r="FS9" s="92"/>
      <c r="FT9" s="92"/>
      <c r="FU9" s="92"/>
      <c r="FV9" s="92"/>
      <c r="FW9" s="92"/>
      <c r="FX9" s="92"/>
      <c r="FY9" s="92"/>
      <c r="FZ9" s="92"/>
      <c r="GA9" s="92"/>
      <c r="GB9" s="92"/>
      <c r="GC9" s="92"/>
      <c r="GD9" s="92"/>
      <c r="GE9" s="92"/>
      <c r="GF9" s="92"/>
      <c r="GG9" s="92"/>
      <c r="GH9" s="92"/>
      <c r="GI9" s="92"/>
      <c r="GJ9" s="92"/>
      <c r="GK9" s="92"/>
      <c r="GL9" s="101"/>
    </row>
    <row r="10" spans="1:194" ht="14.25" customHeight="1" x14ac:dyDescent="0.35">
      <c r="A10" s="65"/>
      <c r="B10" s="65"/>
      <c r="C10" s="66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66"/>
      <c r="BV10" s="66"/>
      <c r="BW10" s="66"/>
      <c r="BX10" s="66"/>
      <c r="BY10" s="66"/>
      <c r="BZ10" s="66"/>
      <c r="CA10" s="66"/>
      <c r="CB10" s="66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66"/>
      <c r="CT10" s="66"/>
      <c r="CU10" s="66"/>
      <c r="CV10" s="66"/>
      <c r="CW10" s="66"/>
      <c r="CX10" s="66"/>
      <c r="CY10" s="66"/>
      <c r="CZ10" s="66"/>
      <c r="DA10" s="66"/>
      <c r="DB10" s="66"/>
      <c r="DC10" s="66"/>
      <c r="DD10" s="66"/>
      <c r="DE10" s="66"/>
      <c r="DF10" s="66"/>
      <c r="DG10" s="66"/>
      <c r="DH10" s="66"/>
      <c r="DI10" s="66"/>
      <c r="DJ10" s="66"/>
      <c r="DK10" s="66"/>
      <c r="DL10" s="66"/>
      <c r="DM10" s="66"/>
      <c r="DN10" s="66"/>
      <c r="DO10" s="66"/>
      <c r="DP10" s="66"/>
      <c r="DQ10" s="66"/>
      <c r="DR10" s="66"/>
      <c r="DS10" s="66"/>
      <c r="DT10" s="66"/>
      <c r="DU10" s="66"/>
      <c r="DV10" s="66"/>
      <c r="DW10" s="66"/>
      <c r="DX10" s="66"/>
      <c r="DY10" s="66"/>
      <c r="DZ10" s="66"/>
      <c r="EA10" s="66"/>
      <c r="EB10" s="66"/>
      <c r="EC10" s="66"/>
      <c r="ED10" s="66"/>
      <c r="EE10" s="66"/>
      <c r="EF10" s="66"/>
      <c r="EG10" s="66"/>
      <c r="EH10" s="66"/>
      <c r="EI10" s="66"/>
      <c r="EJ10" s="66"/>
      <c r="EK10" s="66"/>
      <c r="EL10" s="66"/>
      <c r="EM10" s="66"/>
      <c r="EN10" s="66"/>
      <c r="EO10" s="66"/>
      <c r="EP10" s="66"/>
      <c r="EQ10" s="66"/>
      <c r="ER10" s="66"/>
      <c r="ES10" s="66"/>
      <c r="ET10" s="66"/>
      <c r="EU10" s="66"/>
      <c r="EV10" s="66"/>
      <c r="EW10" s="66"/>
      <c r="EX10" s="66"/>
      <c r="EY10" s="66"/>
      <c r="EZ10" s="66"/>
      <c r="FA10" s="66"/>
      <c r="FB10" s="66"/>
      <c r="FC10" s="66"/>
      <c r="FD10" s="66"/>
      <c r="FE10" s="66"/>
      <c r="FF10" s="66"/>
      <c r="FG10" s="66"/>
      <c r="FH10" s="66"/>
      <c r="FI10" s="66"/>
      <c r="FJ10" s="66"/>
      <c r="FK10" s="66"/>
      <c r="FL10" s="66"/>
      <c r="FM10" s="66"/>
      <c r="FN10" s="66"/>
      <c r="FO10" s="66"/>
      <c r="FP10" s="66"/>
      <c r="FQ10" s="66"/>
      <c r="FR10" s="66"/>
      <c r="FS10" s="66"/>
      <c r="FT10" s="66"/>
      <c r="FU10" s="66"/>
      <c r="FV10" s="66"/>
      <c r="FW10" s="66"/>
      <c r="FX10" s="66"/>
      <c r="FY10" s="66"/>
      <c r="FZ10" s="66"/>
      <c r="GA10" s="66"/>
      <c r="GB10" s="66"/>
      <c r="GC10" s="66"/>
      <c r="GD10" s="66"/>
      <c r="GE10" s="66"/>
      <c r="GF10" s="66"/>
      <c r="GG10" s="66"/>
      <c r="GH10" s="66"/>
      <c r="GI10" s="66"/>
      <c r="GJ10" s="66"/>
      <c r="GK10" s="66"/>
      <c r="GL10" s="66"/>
    </row>
    <row r="11" spans="1:194" ht="14.25" customHeight="1" x14ac:dyDescent="0.35">
      <c r="A11" s="65"/>
      <c r="B11" s="65"/>
      <c r="C11" s="66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66"/>
      <c r="BV11" s="66"/>
      <c r="BW11" s="66"/>
      <c r="BX11" s="66"/>
      <c r="BY11" s="66"/>
      <c r="BZ11" s="66"/>
      <c r="CA11" s="66"/>
      <c r="CB11" s="66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66"/>
      <c r="CT11" s="66"/>
      <c r="CU11" s="66"/>
      <c r="CV11" s="66"/>
      <c r="CW11" s="66"/>
      <c r="CX11" s="66"/>
      <c r="CY11" s="66"/>
      <c r="CZ11" s="66"/>
      <c r="DA11" s="66"/>
      <c r="DB11" s="66"/>
      <c r="DC11" s="66"/>
      <c r="DD11" s="66"/>
      <c r="DE11" s="66"/>
      <c r="DF11" s="66"/>
      <c r="DG11" s="66"/>
      <c r="DH11" s="66"/>
      <c r="DI11" s="66"/>
      <c r="DJ11" s="66"/>
      <c r="DK11" s="66"/>
      <c r="DL11" s="66"/>
      <c r="DM11" s="66"/>
      <c r="DN11" s="66"/>
      <c r="DO11" s="66"/>
      <c r="DP11" s="66"/>
      <c r="DQ11" s="66"/>
      <c r="DR11" s="66"/>
      <c r="DS11" s="66"/>
      <c r="DT11" s="66"/>
      <c r="DU11" s="66"/>
      <c r="DV11" s="66"/>
      <c r="DW11" s="66"/>
      <c r="DX11" s="66"/>
      <c r="DY11" s="66"/>
      <c r="DZ11" s="66"/>
      <c r="EA11" s="66"/>
      <c r="EB11" s="66"/>
      <c r="EC11" s="66"/>
      <c r="ED11" s="66"/>
      <c r="EE11" s="66"/>
      <c r="EF11" s="66"/>
      <c r="EG11" s="66"/>
      <c r="EH11" s="66"/>
      <c r="EI11" s="66"/>
      <c r="EJ11" s="66"/>
      <c r="EK11" s="66"/>
      <c r="EL11" s="66"/>
      <c r="EM11" s="66"/>
      <c r="EN11" s="66"/>
      <c r="EO11" s="66"/>
      <c r="EP11" s="66"/>
      <c r="EQ11" s="66"/>
      <c r="ER11" s="66"/>
      <c r="ES11" s="66"/>
      <c r="ET11" s="66"/>
      <c r="EU11" s="66"/>
      <c r="EV11" s="66"/>
      <c r="EW11" s="66"/>
      <c r="EX11" s="66"/>
      <c r="EY11" s="66"/>
      <c r="EZ11" s="66"/>
      <c r="FA11" s="66"/>
      <c r="FB11" s="66"/>
      <c r="FC11" s="66"/>
      <c r="FD11" s="66"/>
      <c r="FE11" s="66"/>
      <c r="FF11" s="66"/>
      <c r="FG11" s="66"/>
      <c r="FH11" s="66"/>
      <c r="FI11" s="66"/>
      <c r="FJ11" s="66"/>
      <c r="FK11" s="66"/>
      <c r="FL11" s="66"/>
      <c r="FM11" s="66"/>
      <c r="FN11" s="66"/>
      <c r="FO11" s="66"/>
      <c r="FP11" s="66"/>
      <c r="FQ11" s="66"/>
      <c r="FR11" s="66"/>
      <c r="FS11" s="66"/>
      <c r="FT11" s="66"/>
      <c r="FU11" s="66"/>
      <c r="FV11" s="66"/>
      <c r="FW11" s="66"/>
      <c r="FX11" s="66"/>
      <c r="FY11" s="66"/>
      <c r="FZ11" s="66"/>
      <c r="GA11" s="66"/>
      <c r="GB11" s="66"/>
      <c r="GC11" s="66"/>
      <c r="GD11" s="66"/>
      <c r="GE11" s="66"/>
      <c r="GF11" s="66"/>
      <c r="GG11" s="66"/>
      <c r="GH11" s="66"/>
      <c r="GI11" s="66"/>
      <c r="GJ11" s="66"/>
      <c r="GK11" s="66"/>
      <c r="GL11" s="66"/>
    </row>
    <row r="12" spans="1:194" ht="14.25" customHeight="1" x14ac:dyDescent="0.35">
      <c r="A12" s="65"/>
      <c r="B12" s="65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66"/>
      <c r="BV12" s="66"/>
      <c r="BW12" s="66"/>
      <c r="BX12" s="66"/>
      <c r="BY12" s="66"/>
      <c r="BZ12" s="66"/>
      <c r="CA12" s="66"/>
      <c r="CB12" s="66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66"/>
      <c r="CT12" s="66"/>
      <c r="CU12" s="66"/>
      <c r="CV12" s="66"/>
      <c r="CW12" s="66"/>
      <c r="CX12" s="66"/>
      <c r="CY12" s="66"/>
      <c r="CZ12" s="66"/>
      <c r="DA12" s="66"/>
      <c r="DB12" s="66"/>
      <c r="DC12" s="66"/>
      <c r="DD12" s="66"/>
      <c r="DE12" s="66"/>
      <c r="DF12" s="66"/>
      <c r="DG12" s="66"/>
      <c r="DH12" s="66"/>
      <c r="DI12" s="66"/>
      <c r="DJ12" s="66"/>
      <c r="DK12" s="66"/>
      <c r="DL12" s="66"/>
      <c r="DM12" s="66"/>
      <c r="DN12" s="66"/>
      <c r="DO12" s="66"/>
      <c r="DP12" s="66"/>
      <c r="DQ12" s="66"/>
      <c r="DR12" s="66"/>
      <c r="DS12" s="66"/>
      <c r="DT12" s="66"/>
      <c r="DU12" s="66"/>
      <c r="DV12" s="66"/>
      <c r="DW12" s="66"/>
      <c r="DX12" s="66"/>
      <c r="DY12" s="66"/>
      <c r="DZ12" s="66"/>
      <c r="EA12" s="66"/>
      <c r="EB12" s="66"/>
      <c r="EC12" s="66"/>
      <c r="ED12" s="66"/>
      <c r="EE12" s="66"/>
      <c r="EF12" s="66"/>
      <c r="EG12" s="66"/>
      <c r="EH12" s="66"/>
      <c r="EI12" s="66"/>
      <c r="EJ12" s="66"/>
      <c r="EK12" s="66"/>
      <c r="EL12" s="66"/>
      <c r="EM12" s="66"/>
      <c r="EN12" s="66"/>
      <c r="EO12" s="66"/>
      <c r="EP12" s="66"/>
      <c r="EQ12" s="66"/>
      <c r="ER12" s="66"/>
      <c r="ES12" s="66"/>
      <c r="ET12" s="66"/>
      <c r="EU12" s="66"/>
      <c r="EV12" s="66"/>
      <c r="EW12" s="66"/>
      <c r="EX12" s="66"/>
      <c r="EY12" s="66"/>
      <c r="EZ12" s="66"/>
      <c r="FA12" s="66"/>
      <c r="FB12" s="66"/>
      <c r="FC12" s="66"/>
      <c r="FD12" s="66"/>
      <c r="FE12" s="66"/>
      <c r="FF12" s="66"/>
      <c r="FG12" s="66"/>
      <c r="FH12" s="66"/>
      <c r="FI12" s="66"/>
      <c r="FJ12" s="66"/>
      <c r="FK12" s="66"/>
      <c r="FL12" s="68"/>
      <c r="FM12" s="68"/>
      <c r="FN12" s="68"/>
      <c r="FO12" s="68"/>
      <c r="FP12" s="68"/>
      <c r="FQ12" s="68"/>
      <c r="FR12" s="68"/>
      <c r="FS12" s="68"/>
      <c r="FT12" s="68"/>
      <c r="FU12" s="68"/>
      <c r="FV12" s="68"/>
      <c r="FW12" s="68"/>
      <c r="FX12" s="68"/>
      <c r="FY12" s="66"/>
      <c r="FZ12" s="66"/>
      <c r="GA12" s="69"/>
      <c r="GB12" s="69"/>
      <c r="GC12" s="69"/>
      <c r="GD12" s="69"/>
      <c r="GE12" s="69"/>
      <c r="GF12" s="69"/>
      <c r="GG12" s="69"/>
      <c r="GH12" s="69"/>
      <c r="GI12" s="69"/>
      <c r="GJ12" s="69"/>
      <c r="GK12" s="69"/>
      <c r="GL12" s="69"/>
    </row>
    <row r="13" spans="1:194" ht="14.25" customHeight="1" x14ac:dyDescent="0.35">
      <c r="A13" s="65"/>
      <c r="B13" s="65"/>
      <c r="C13" s="70" t="s">
        <v>372</v>
      </c>
      <c r="D13" s="71">
        <v>46081</v>
      </c>
      <c r="E13" s="72">
        <f t="shared" ref="E13:O13" si="0">EOMONTH(D13,1)</f>
        <v>46112</v>
      </c>
      <c r="F13" s="72">
        <f t="shared" si="0"/>
        <v>46142</v>
      </c>
      <c r="G13" s="72">
        <f t="shared" si="0"/>
        <v>46173</v>
      </c>
      <c r="H13" s="72">
        <f t="shared" si="0"/>
        <v>46203</v>
      </c>
      <c r="I13" s="72">
        <f t="shared" si="0"/>
        <v>46234</v>
      </c>
      <c r="J13" s="72">
        <f t="shared" si="0"/>
        <v>46265</v>
      </c>
      <c r="K13" s="72">
        <f t="shared" si="0"/>
        <v>46295</v>
      </c>
      <c r="L13" s="72">
        <f t="shared" si="0"/>
        <v>46326</v>
      </c>
      <c r="M13" s="72">
        <f t="shared" si="0"/>
        <v>46356</v>
      </c>
      <c r="N13" s="72">
        <f t="shared" si="0"/>
        <v>46387</v>
      </c>
      <c r="O13" s="72">
        <f t="shared" si="0"/>
        <v>46418</v>
      </c>
      <c r="P13" s="73"/>
      <c r="Q13" s="66"/>
      <c r="R13" s="74" t="s">
        <v>373</v>
      </c>
      <c r="S13" s="72">
        <v>46081</v>
      </c>
      <c r="T13" s="72">
        <v>46112</v>
      </c>
      <c r="U13" s="72">
        <v>46142</v>
      </c>
      <c r="V13" s="72">
        <v>46173</v>
      </c>
      <c r="W13" s="72">
        <v>46203</v>
      </c>
      <c r="X13" s="72">
        <v>46234</v>
      </c>
      <c r="Y13" s="72">
        <v>46265</v>
      </c>
      <c r="Z13" s="72">
        <v>46295</v>
      </c>
      <c r="AA13" s="72">
        <v>46326</v>
      </c>
      <c r="AB13" s="72">
        <v>46356</v>
      </c>
      <c r="AC13" s="72">
        <v>46387</v>
      </c>
      <c r="AD13" s="72">
        <v>46418</v>
      </c>
      <c r="AE13" s="73"/>
      <c r="AF13" s="75"/>
      <c r="AG13" s="74" t="s">
        <v>374</v>
      </c>
      <c r="AH13" s="71">
        <v>46081</v>
      </c>
      <c r="AI13" s="72">
        <v>46112</v>
      </c>
      <c r="AJ13" s="72">
        <v>46142</v>
      </c>
      <c r="AK13" s="72">
        <v>46173</v>
      </c>
      <c r="AL13" s="72">
        <v>46203</v>
      </c>
      <c r="AM13" s="72">
        <v>46234</v>
      </c>
      <c r="AN13" s="72">
        <v>46265</v>
      </c>
      <c r="AO13" s="72">
        <v>46295</v>
      </c>
      <c r="AP13" s="72">
        <v>46326</v>
      </c>
      <c r="AQ13" s="72">
        <v>46356</v>
      </c>
      <c r="AR13" s="72">
        <v>46387</v>
      </c>
      <c r="AS13" s="72">
        <v>46418</v>
      </c>
      <c r="AT13" s="73"/>
      <c r="AU13" s="76"/>
      <c r="AV13" s="74" t="s">
        <v>375</v>
      </c>
      <c r="AW13" s="71">
        <v>46081</v>
      </c>
      <c r="AX13" s="72">
        <v>46112</v>
      </c>
      <c r="AY13" s="72">
        <v>46142</v>
      </c>
      <c r="AZ13" s="72">
        <v>46173</v>
      </c>
      <c r="BA13" s="72">
        <v>46203</v>
      </c>
      <c r="BB13" s="72">
        <v>46234</v>
      </c>
      <c r="BC13" s="72">
        <v>46265</v>
      </c>
      <c r="BD13" s="72">
        <v>46295</v>
      </c>
      <c r="BE13" s="72">
        <v>46326</v>
      </c>
      <c r="BF13" s="72">
        <v>46356</v>
      </c>
      <c r="BG13" s="72">
        <v>46387</v>
      </c>
      <c r="BH13" s="72">
        <v>46418</v>
      </c>
      <c r="BI13" s="73"/>
      <c r="BJ13" s="76"/>
      <c r="BK13" s="74" t="s">
        <v>376</v>
      </c>
      <c r="BL13" s="71">
        <v>46081</v>
      </c>
      <c r="BM13" s="72">
        <v>46112</v>
      </c>
      <c r="BN13" s="72">
        <v>46142</v>
      </c>
      <c r="BO13" s="72">
        <v>46173</v>
      </c>
      <c r="BP13" s="72">
        <v>46203</v>
      </c>
      <c r="BQ13" s="72">
        <v>46234</v>
      </c>
      <c r="BR13" s="72">
        <v>46265</v>
      </c>
      <c r="BS13" s="72">
        <v>46295</v>
      </c>
      <c r="BT13" s="72">
        <v>46326</v>
      </c>
      <c r="BU13" s="72">
        <v>46356</v>
      </c>
      <c r="BV13" s="72">
        <v>46387</v>
      </c>
      <c r="BW13" s="72">
        <v>46418</v>
      </c>
      <c r="BX13" s="73"/>
      <c r="BY13" s="76"/>
      <c r="BZ13" s="74" t="s">
        <v>377</v>
      </c>
      <c r="CA13" s="71">
        <v>46081</v>
      </c>
      <c r="CB13" s="72">
        <v>46112</v>
      </c>
      <c r="CC13" s="72">
        <v>46142</v>
      </c>
      <c r="CD13" s="72">
        <v>46173</v>
      </c>
      <c r="CE13" s="72">
        <v>46203</v>
      </c>
      <c r="CF13" s="72">
        <v>46234</v>
      </c>
      <c r="CG13" s="72">
        <v>46265</v>
      </c>
      <c r="CH13" s="72">
        <v>46295</v>
      </c>
      <c r="CI13" s="72">
        <v>46326</v>
      </c>
      <c r="CJ13" s="72">
        <v>46356</v>
      </c>
      <c r="CK13" s="72">
        <v>46387</v>
      </c>
      <c r="CL13" s="72">
        <v>46418</v>
      </c>
      <c r="CM13" s="73"/>
      <c r="CN13" s="76"/>
      <c r="CO13" s="74" t="s">
        <v>378</v>
      </c>
      <c r="CP13" s="71">
        <v>46081</v>
      </c>
      <c r="CQ13" s="72">
        <v>46112</v>
      </c>
      <c r="CR13" s="72">
        <v>46142</v>
      </c>
      <c r="CS13" s="72">
        <v>46173</v>
      </c>
      <c r="CT13" s="72">
        <v>46203</v>
      </c>
      <c r="CU13" s="72">
        <v>46234</v>
      </c>
      <c r="CV13" s="72">
        <v>46265</v>
      </c>
      <c r="CW13" s="72">
        <v>46295</v>
      </c>
      <c r="CX13" s="72">
        <v>46326</v>
      </c>
      <c r="CY13" s="72">
        <v>46356</v>
      </c>
      <c r="CZ13" s="72">
        <v>46387</v>
      </c>
      <c r="DA13" s="72">
        <v>46418</v>
      </c>
      <c r="DB13" s="73"/>
      <c r="DC13" s="66"/>
      <c r="DD13" s="74" t="s">
        <v>379</v>
      </c>
      <c r="DE13" s="71">
        <v>46081</v>
      </c>
      <c r="DF13" s="72">
        <v>46112</v>
      </c>
      <c r="DG13" s="72">
        <v>46142</v>
      </c>
      <c r="DH13" s="72">
        <v>46173</v>
      </c>
      <c r="DI13" s="72">
        <v>46203</v>
      </c>
      <c r="DJ13" s="72">
        <v>46234</v>
      </c>
      <c r="DK13" s="72">
        <v>46265</v>
      </c>
      <c r="DL13" s="72">
        <v>46295</v>
      </c>
      <c r="DM13" s="72">
        <v>46326</v>
      </c>
      <c r="DN13" s="72">
        <v>46356</v>
      </c>
      <c r="DO13" s="72">
        <v>46387</v>
      </c>
      <c r="DP13" s="72">
        <v>46418</v>
      </c>
      <c r="DQ13" s="73"/>
      <c r="DR13" s="76"/>
      <c r="DS13" s="74" t="s">
        <v>380</v>
      </c>
      <c r="DT13" s="71">
        <v>46081</v>
      </c>
      <c r="DU13" s="72">
        <v>46112</v>
      </c>
      <c r="DV13" s="72">
        <v>46142</v>
      </c>
      <c r="DW13" s="72">
        <v>46173</v>
      </c>
      <c r="DX13" s="72">
        <v>46203</v>
      </c>
      <c r="DY13" s="72">
        <v>46234</v>
      </c>
      <c r="DZ13" s="72">
        <v>46265</v>
      </c>
      <c r="EA13" s="72">
        <v>46295</v>
      </c>
      <c r="EB13" s="72">
        <v>46326</v>
      </c>
      <c r="EC13" s="72">
        <v>46356</v>
      </c>
      <c r="ED13" s="72">
        <v>46387</v>
      </c>
      <c r="EE13" s="72">
        <v>46418</v>
      </c>
      <c r="EF13" s="73"/>
      <c r="EG13" s="76"/>
      <c r="EH13" s="74" t="s">
        <v>364</v>
      </c>
      <c r="EI13" s="71">
        <v>46081</v>
      </c>
      <c r="EJ13" s="72">
        <v>46112</v>
      </c>
      <c r="EK13" s="72">
        <v>46142</v>
      </c>
      <c r="EL13" s="72">
        <v>46173</v>
      </c>
      <c r="EM13" s="72">
        <v>46203</v>
      </c>
      <c r="EN13" s="72">
        <v>46234</v>
      </c>
      <c r="EO13" s="72">
        <v>46265</v>
      </c>
      <c r="EP13" s="72">
        <v>46295</v>
      </c>
      <c r="EQ13" s="72">
        <v>46326</v>
      </c>
      <c r="ER13" s="72">
        <v>46356</v>
      </c>
      <c r="ES13" s="72">
        <v>46387</v>
      </c>
      <c r="ET13" s="72">
        <v>46418</v>
      </c>
      <c r="EU13" s="66"/>
      <c r="EV13" s="74" t="s">
        <v>365</v>
      </c>
      <c r="EW13" s="71">
        <v>46081</v>
      </c>
      <c r="EX13" s="72">
        <v>46112</v>
      </c>
      <c r="EY13" s="72">
        <v>46142</v>
      </c>
      <c r="EZ13" s="72">
        <v>46173</v>
      </c>
      <c r="FA13" s="72">
        <v>46203</v>
      </c>
      <c r="FB13" s="72">
        <v>46234</v>
      </c>
      <c r="FC13" s="72">
        <v>46265</v>
      </c>
      <c r="FD13" s="72">
        <v>46295</v>
      </c>
      <c r="FE13" s="72">
        <v>46326</v>
      </c>
      <c r="FF13" s="72">
        <v>46356</v>
      </c>
      <c r="FG13" s="72">
        <v>46387</v>
      </c>
      <c r="FH13" s="72">
        <v>46418</v>
      </c>
      <c r="FI13" s="66"/>
      <c r="FJ13" s="76"/>
      <c r="FK13" s="74" t="s">
        <v>381</v>
      </c>
      <c r="FL13" s="71">
        <v>46081</v>
      </c>
      <c r="FM13" s="72">
        <v>46112</v>
      </c>
      <c r="FN13" s="72">
        <v>46142</v>
      </c>
      <c r="FO13" s="72">
        <v>46173</v>
      </c>
      <c r="FP13" s="72">
        <v>46203</v>
      </c>
      <c r="FQ13" s="72">
        <v>46234</v>
      </c>
      <c r="FR13" s="72">
        <v>46265</v>
      </c>
      <c r="FS13" s="72">
        <v>46295</v>
      </c>
      <c r="FT13" s="72">
        <v>46326</v>
      </c>
      <c r="FU13" s="72">
        <v>46356</v>
      </c>
      <c r="FV13" s="72">
        <v>46387</v>
      </c>
      <c r="FW13" s="72">
        <v>46418</v>
      </c>
      <c r="FX13" s="68"/>
      <c r="FY13" s="76"/>
      <c r="FZ13" s="74" t="s">
        <v>367</v>
      </c>
      <c r="GA13" s="71">
        <v>46081</v>
      </c>
      <c r="GB13" s="72">
        <v>46112</v>
      </c>
      <c r="GC13" s="72">
        <v>46142</v>
      </c>
      <c r="GD13" s="72">
        <v>46173</v>
      </c>
      <c r="GE13" s="72">
        <v>46203</v>
      </c>
      <c r="GF13" s="72">
        <v>46234</v>
      </c>
      <c r="GG13" s="72">
        <v>46265</v>
      </c>
      <c r="GH13" s="72">
        <v>46295</v>
      </c>
      <c r="GI13" s="72">
        <v>46326</v>
      </c>
      <c r="GJ13" s="72">
        <v>46356</v>
      </c>
      <c r="GK13" s="72">
        <v>46387</v>
      </c>
      <c r="GL13" s="72">
        <v>46418</v>
      </c>
    </row>
    <row r="14" spans="1:194" ht="14.25" customHeight="1" x14ac:dyDescent="0.35">
      <c r="A14" s="65"/>
      <c r="B14" s="76"/>
      <c r="C14" s="76" t="s">
        <v>425</v>
      </c>
      <c r="D14" s="77">
        <v>0</v>
      </c>
      <c r="E14" s="77">
        <v>0</v>
      </c>
      <c r="F14" s="77">
        <v>0</v>
      </c>
      <c r="G14" s="77">
        <v>0</v>
      </c>
      <c r="H14" s="77">
        <v>0</v>
      </c>
      <c r="I14" s="77">
        <v>0</v>
      </c>
      <c r="J14" s="77">
        <v>0</v>
      </c>
      <c r="K14" s="77">
        <v>0</v>
      </c>
      <c r="L14" s="77">
        <v>0</v>
      </c>
      <c r="M14" s="77">
        <v>0</v>
      </c>
      <c r="N14" s="77">
        <v>0</v>
      </c>
      <c r="O14" s="77">
        <v>0</v>
      </c>
      <c r="P14" s="68"/>
      <c r="Q14" s="66"/>
      <c r="R14" s="78" t="str">
        <f t="shared" ref="R14:R73" si="1">C14</f>
        <v>MXN - Letras del Tesoro Posicion Tesoreria</v>
      </c>
      <c r="S14" s="79">
        <v>0</v>
      </c>
      <c r="T14" s="79">
        <v>0</v>
      </c>
      <c r="U14" s="79">
        <v>0</v>
      </c>
      <c r="V14" s="79">
        <v>0</v>
      </c>
      <c r="W14" s="79">
        <v>0</v>
      </c>
      <c r="X14" s="79">
        <v>0</v>
      </c>
      <c r="Y14" s="79">
        <v>0</v>
      </c>
      <c r="Z14" s="79">
        <v>0</v>
      </c>
      <c r="AA14" s="79">
        <v>0</v>
      </c>
      <c r="AB14" s="79">
        <v>0</v>
      </c>
      <c r="AC14" s="79">
        <v>0</v>
      </c>
      <c r="AD14" s="79">
        <v>0</v>
      </c>
      <c r="AE14" s="68"/>
      <c r="AF14" s="75"/>
      <c r="AG14" s="78" t="str">
        <f t="shared" ref="AG14:AG73" si="2">R14</f>
        <v>MXN - Letras del Tesoro Posicion Tesoreria</v>
      </c>
      <c r="AH14" s="80">
        <v>0</v>
      </c>
      <c r="AI14" s="80">
        <v>0</v>
      </c>
      <c r="AJ14" s="80">
        <v>0</v>
      </c>
      <c r="AK14" s="80">
        <v>0</v>
      </c>
      <c r="AL14" s="80">
        <v>0</v>
      </c>
      <c r="AM14" s="80">
        <v>0</v>
      </c>
      <c r="AN14" s="80">
        <v>0</v>
      </c>
      <c r="AO14" s="80">
        <v>0</v>
      </c>
      <c r="AP14" s="80">
        <v>0</v>
      </c>
      <c r="AQ14" s="80">
        <v>0</v>
      </c>
      <c r="AR14" s="80">
        <v>0</v>
      </c>
      <c r="AS14" s="80">
        <v>0</v>
      </c>
      <c r="AT14" s="68"/>
      <c r="AU14" s="76"/>
      <c r="AV14" s="78" t="str">
        <f t="shared" ref="AV14:AV73" si="3">AG14</f>
        <v>MXN - Letras del Tesoro Posicion Tesoreria</v>
      </c>
      <c r="AW14" s="80">
        <v>0</v>
      </c>
      <c r="AX14" s="80">
        <v>0</v>
      </c>
      <c r="AY14" s="80">
        <v>0</v>
      </c>
      <c r="AZ14" s="80">
        <v>0</v>
      </c>
      <c r="BA14" s="80">
        <v>0</v>
      </c>
      <c r="BB14" s="80">
        <v>0</v>
      </c>
      <c r="BC14" s="80">
        <v>0</v>
      </c>
      <c r="BD14" s="80">
        <v>0</v>
      </c>
      <c r="BE14" s="80">
        <v>0</v>
      </c>
      <c r="BF14" s="80">
        <v>0</v>
      </c>
      <c r="BG14" s="80">
        <v>0</v>
      </c>
      <c r="BH14" s="80">
        <v>0</v>
      </c>
      <c r="BI14" s="69"/>
      <c r="BJ14" s="76"/>
      <c r="BK14" s="78" t="str">
        <f t="shared" ref="BK14:BK73" si="4">AV14</f>
        <v>MXN - Letras del Tesoro Posicion Tesoreria</v>
      </c>
      <c r="BL14" s="81" t="s">
        <v>338</v>
      </c>
      <c r="BM14" s="81" t="s">
        <v>338</v>
      </c>
      <c r="BN14" s="81" t="s">
        <v>338</v>
      </c>
      <c r="BO14" s="81" t="s">
        <v>338</v>
      </c>
      <c r="BP14" s="81" t="s">
        <v>338</v>
      </c>
      <c r="BQ14" s="81" t="s">
        <v>338</v>
      </c>
      <c r="BR14" s="81" t="s">
        <v>338</v>
      </c>
      <c r="BS14" s="81" t="s">
        <v>338</v>
      </c>
      <c r="BT14" s="81" t="s">
        <v>338</v>
      </c>
      <c r="BU14" s="81" t="s">
        <v>338</v>
      </c>
      <c r="BV14" s="81" t="s">
        <v>338</v>
      </c>
      <c r="BW14" s="81" t="s">
        <v>338</v>
      </c>
      <c r="BX14" s="66"/>
      <c r="BY14" s="76"/>
      <c r="BZ14" s="78" t="str">
        <f t="shared" ref="BZ14:BZ73" si="5">BK14</f>
        <v>MXN - Letras del Tesoro Posicion Tesoreria</v>
      </c>
      <c r="CA14" s="79">
        <v>1</v>
      </c>
      <c r="CB14" s="79">
        <v>1</v>
      </c>
      <c r="CC14" s="79">
        <v>1</v>
      </c>
      <c r="CD14" s="79">
        <v>1</v>
      </c>
      <c r="CE14" s="79">
        <v>1</v>
      </c>
      <c r="CF14" s="79">
        <v>1</v>
      </c>
      <c r="CG14" s="79">
        <v>1</v>
      </c>
      <c r="CH14" s="79">
        <v>1</v>
      </c>
      <c r="CI14" s="79">
        <v>1</v>
      </c>
      <c r="CJ14" s="79">
        <v>1</v>
      </c>
      <c r="CK14" s="79">
        <v>1</v>
      </c>
      <c r="CL14" s="79">
        <v>1</v>
      </c>
      <c r="CM14" s="66"/>
      <c r="CN14" s="76"/>
      <c r="CO14" s="78" t="str">
        <f t="shared" ref="CO14:CO73" si="6">BZ14</f>
        <v>MXN - Letras del Tesoro Posicion Tesoreria</v>
      </c>
      <c r="CP14" s="79">
        <v>0</v>
      </c>
      <c r="CQ14" s="79">
        <v>0</v>
      </c>
      <c r="CR14" s="79">
        <v>0</v>
      </c>
      <c r="CS14" s="79">
        <v>0</v>
      </c>
      <c r="CT14" s="79">
        <v>0</v>
      </c>
      <c r="CU14" s="79">
        <v>0</v>
      </c>
      <c r="CV14" s="79">
        <v>0</v>
      </c>
      <c r="CW14" s="79">
        <v>0</v>
      </c>
      <c r="CX14" s="79">
        <v>0</v>
      </c>
      <c r="CY14" s="79">
        <v>0</v>
      </c>
      <c r="CZ14" s="79">
        <v>0</v>
      </c>
      <c r="DA14" s="79">
        <v>0</v>
      </c>
      <c r="DB14" s="68"/>
      <c r="DC14" s="66"/>
      <c r="DD14" s="78" t="str">
        <f t="shared" ref="DD14:DD73" si="7">CO14</f>
        <v>MXN - Letras del Tesoro Posicion Tesoreria</v>
      </c>
      <c r="DE14" s="79">
        <v>0</v>
      </c>
      <c r="DF14" s="79">
        <v>0</v>
      </c>
      <c r="DG14" s="79">
        <v>0</v>
      </c>
      <c r="DH14" s="79">
        <v>0</v>
      </c>
      <c r="DI14" s="79">
        <v>0</v>
      </c>
      <c r="DJ14" s="79">
        <v>0</v>
      </c>
      <c r="DK14" s="79">
        <v>0</v>
      </c>
      <c r="DL14" s="79">
        <v>0</v>
      </c>
      <c r="DM14" s="79">
        <v>0</v>
      </c>
      <c r="DN14" s="79">
        <v>0</v>
      </c>
      <c r="DO14" s="79">
        <v>0</v>
      </c>
      <c r="DP14" s="79">
        <v>0</v>
      </c>
      <c r="DQ14" s="82"/>
      <c r="DR14" s="76"/>
      <c r="DS14" s="78" t="str">
        <f t="shared" ref="DS14:DS73" si="8">DD14</f>
        <v>MXN - Letras del Tesoro Posicion Tesoreria</v>
      </c>
      <c r="DT14" s="79">
        <v>0</v>
      </c>
      <c r="DU14" s="79">
        <v>0</v>
      </c>
      <c r="DV14" s="79">
        <v>0</v>
      </c>
      <c r="DW14" s="79">
        <v>0</v>
      </c>
      <c r="DX14" s="79">
        <v>0</v>
      </c>
      <c r="DY14" s="79">
        <v>0</v>
      </c>
      <c r="DZ14" s="79">
        <v>0</v>
      </c>
      <c r="EA14" s="79">
        <v>0</v>
      </c>
      <c r="EB14" s="79">
        <v>0</v>
      </c>
      <c r="EC14" s="79">
        <v>0</v>
      </c>
      <c r="ED14" s="79">
        <v>0</v>
      </c>
      <c r="EE14" s="79">
        <v>0</v>
      </c>
      <c r="EF14" s="66"/>
      <c r="EG14" s="76"/>
      <c r="EH14" s="78" t="str">
        <f t="shared" ref="EH14:EH73" si="9">DS14</f>
        <v>MXN - Letras del Tesoro Posicion Tesoreria</v>
      </c>
      <c r="EI14" s="79">
        <v>0</v>
      </c>
      <c r="EJ14" s="79">
        <v>0</v>
      </c>
      <c r="EK14" s="79">
        <v>0</v>
      </c>
      <c r="EL14" s="79">
        <v>0</v>
      </c>
      <c r="EM14" s="79">
        <v>0</v>
      </c>
      <c r="EN14" s="79">
        <v>0</v>
      </c>
      <c r="EO14" s="79">
        <v>0</v>
      </c>
      <c r="EP14" s="79">
        <v>0</v>
      </c>
      <c r="EQ14" s="79">
        <v>0</v>
      </c>
      <c r="ER14" s="79">
        <v>0</v>
      </c>
      <c r="ES14" s="79">
        <v>0</v>
      </c>
      <c r="ET14" s="79">
        <v>0</v>
      </c>
      <c r="EU14" s="66"/>
      <c r="EV14" s="66" t="s">
        <v>338</v>
      </c>
      <c r="EW14" s="66"/>
      <c r="EX14" s="66"/>
      <c r="EY14" s="66"/>
      <c r="EZ14" s="66"/>
      <c r="FA14" s="66"/>
      <c r="FB14" s="66"/>
      <c r="FC14" s="66"/>
      <c r="FD14" s="66"/>
      <c r="FE14" s="66"/>
      <c r="FF14" s="66"/>
      <c r="FG14" s="66"/>
      <c r="FH14" s="66"/>
      <c r="FI14" s="66"/>
      <c r="FJ14" s="76"/>
      <c r="FK14" s="78" t="str">
        <f t="shared" ref="FK14:FK73" si="10">EH14</f>
        <v>MXN - Letras del Tesoro Posicion Tesoreria</v>
      </c>
      <c r="FL14" s="79">
        <v>0</v>
      </c>
      <c r="FM14" s="79">
        <v>0</v>
      </c>
      <c r="FN14" s="79">
        <v>0</v>
      </c>
      <c r="FO14" s="79">
        <v>0</v>
      </c>
      <c r="FP14" s="79">
        <v>0</v>
      </c>
      <c r="FQ14" s="79">
        <v>0</v>
      </c>
      <c r="FR14" s="79">
        <v>0</v>
      </c>
      <c r="FS14" s="79">
        <v>0</v>
      </c>
      <c r="FT14" s="79">
        <v>0</v>
      </c>
      <c r="FU14" s="79">
        <v>0</v>
      </c>
      <c r="FV14" s="79">
        <v>0</v>
      </c>
      <c r="FW14" s="79">
        <v>0</v>
      </c>
      <c r="FX14" s="68"/>
      <c r="FY14" s="76"/>
      <c r="FZ14" s="78" t="str">
        <f t="shared" ref="FZ14:FZ73" si="11">FK14</f>
        <v>MXN - Letras del Tesoro Posicion Tesoreria</v>
      </c>
      <c r="GA14" s="79" t="s">
        <v>338</v>
      </c>
      <c r="GB14" s="79" t="s">
        <v>338</v>
      </c>
      <c r="GC14" s="79" t="s">
        <v>338</v>
      </c>
      <c r="GD14" s="79" t="s">
        <v>338</v>
      </c>
      <c r="GE14" s="79" t="s">
        <v>338</v>
      </c>
      <c r="GF14" s="79" t="s">
        <v>338</v>
      </c>
      <c r="GG14" s="79" t="s">
        <v>338</v>
      </c>
      <c r="GH14" s="79" t="s">
        <v>338</v>
      </c>
      <c r="GI14" s="79" t="s">
        <v>338</v>
      </c>
      <c r="GJ14" s="79" t="s">
        <v>338</v>
      </c>
      <c r="GK14" s="79" t="s">
        <v>338</v>
      </c>
      <c r="GL14" s="79" t="s">
        <v>338</v>
      </c>
    </row>
    <row r="15" spans="1:194" ht="14.25" customHeight="1" x14ac:dyDescent="0.35">
      <c r="A15" s="65"/>
      <c r="B15" s="75"/>
      <c r="C15" s="76" t="s">
        <v>426</v>
      </c>
      <c r="D15" s="77">
        <v>0</v>
      </c>
      <c r="E15" s="77">
        <v>0</v>
      </c>
      <c r="F15" s="77">
        <v>0</v>
      </c>
      <c r="G15" s="77">
        <v>0</v>
      </c>
      <c r="H15" s="77">
        <v>0</v>
      </c>
      <c r="I15" s="77">
        <v>0</v>
      </c>
      <c r="J15" s="77">
        <v>0</v>
      </c>
      <c r="K15" s="77">
        <v>0</v>
      </c>
      <c r="L15" s="77">
        <v>0</v>
      </c>
      <c r="M15" s="77">
        <v>0</v>
      </c>
      <c r="N15" s="77">
        <v>0</v>
      </c>
      <c r="O15" s="77">
        <v>0</v>
      </c>
      <c r="P15" s="68"/>
      <c r="Q15" s="66"/>
      <c r="R15" s="78" t="str">
        <f t="shared" si="1"/>
        <v>MXN - Bono Dual</v>
      </c>
      <c r="S15" s="79">
        <v>0</v>
      </c>
      <c r="T15" s="79">
        <v>0</v>
      </c>
      <c r="U15" s="79">
        <v>0</v>
      </c>
      <c r="V15" s="79">
        <v>0</v>
      </c>
      <c r="W15" s="79">
        <v>0</v>
      </c>
      <c r="X15" s="79">
        <v>0</v>
      </c>
      <c r="Y15" s="79">
        <v>0</v>
      </c>
      <c r="Z15" s="79">
        <v>0</v>
      </c>
      <c r="AA15" s="79">
        <v>0</v>
      </c>
      <c r="AB15" s="79">
        <v>0</v>
      </c>
      <c r="AC15" s="79">
        <v>0</v>
      </c>
      <c r="AD15" s="79">
        <v>0</v>
      </c>
      <c r="AE15" s="68"/>
      <c r="AF15" s="75"/>
      <c r="AG15" s="78" t="str">
        <f t="shared" si="2"/>
        <v>MXN - Bono Dual</v>
      </c>
      <c r="AH15" s="80">
        <v>0</v>
      </c>
      <c r="AI15" s="80">
        <v>0</v>
      </c>
      <c r="AJ15" s="80">
        <v>0</v>
      </c>
      <c r="AK15" s="80">
        <v>0</v>
      </c>
      <c r="AL15" s="80">
        <v>0</v>
      </c>
      <c r="AM15" s="80">
        <v>0</v>
      </c>
      <c r="AN15" s="80">
        <v>0</v>
      </c>
      <c r="AO15" s="80">
        <v>0</v>
      </c>
      <c r="AP15" s="80">
        <v>0</v>
      </c>
      <c r="AQ15" s="80">
        <v>0</v>
      </c>
      <c r="AR15" s="80">
        <v>0</v>
      </c>
      <c r="AS15" s="80">
        <v>0</v>
      </c>
      <c r="AT15" s="68"/>
      <c r="AU15" s="76"/>
      <c r="AV15" s="78" t="str">
        <f t="shared" si="3"/>
        <v>MXN - Bono Dual</v>
      </c>
      <c r="AW15" s="80">
        <v>0</v>
      </c>
      <c r="AX15" s="80">
        <v>0</v>
      </c>
      <c r="AY15" s="80">
        <v>0</v>
      </c>
      <c r="AZ15" s="80">
        <v>0</v>
      </c>
      <c r="BA15" s="80">
        <v>0</v>
      </c>
      <c r="BB15" s="80">
        <v>0</v>
      </c>
      <c r="BC15" s="80">
        <v>0</v>
      </c>
      <c r="BD15" s="80">
        <v>0</v>
      </c>
      <c r="BE15" s="80">
        <v>0</v>
      </c>
      <c r="BF15" s="80">
        <v>0</v>
      </c>
      <c r="BG15" s="80">
        <v>0</v>
      </c>
      <c r="BH15" s="80">
        <v>0</v>
      </c>
      <c r="BI15" s="69"/>
      <c r="BJ15" s="76"/>
      <c r="BK15" s="78" t="str">
        <f t="shared" si="4"/>
        <v>MXN - Bono Dual</v>
      </c>
      <c r="BL15" s="81" t="s">
        <v>338</v>
      </c>
      <c r="BM15" s="81" t="s">
        <v>338</v>
      </c>
      <c r="BN15" s="81" t="s">
        <v>338</v>
      </c>
      <c r="BO15" s="81" t="s">
        <v>338</v>
      </c>
      <c r="BP15" s="81" t="s">
        <v>338</v>
      </c>
      <c r="BQ15" s="81" t="s">
        <v>338</v>
      </c>
      <c r="BR15" s="81" t="s">
        <v>338</v>
      </c>
      <c r="BS15" s="81" t="s">
        <v>338</v>
      </c>
      <c r="BT15" s="81" t="s">
        <v>338</v>
      </c>
      <c r="BU15" s="81" t="s">
        <v>338</v>
      </c>
      <c r="BV15" s="81" t="s">
        <v>338</v>
      </c>
      <c r="BW15" s="81" t="s">
        <v>338</v>
      </c>
      <c r="BX15" s="66"/>
      <c r="BY15" s="76"/>
      <c r="BZ15" s="78" t="str">
        <f t="shared" si="5"/>
        <v>MXN - Bono Dual</v>
      </c>
      <c r="CA15" s="79">
        <v>1</v>
      </c>
      <c r="CB15" s="79">
        <v>1</v>
      </c>
      <c r="CC15" s="79">
        <v>1</v>
      </c>
      <c r="CD15" s="79">
        <v>1</v>
      </c>
      <c r="CE15" s="79">
        <v>1</v>
      </c>
      <c r="CF15" s="79">
        <v>1</v>
      </c>
      <c r="CG15" s="79">
        <v>1</v>
      </c>
      <c r="CH15" s="79">
        <v>1</v>
      </c>
      <c r="CI15" s="79">
        <v>1</v>
      </c>
      <c r="CJ15" s="79">
        <v>1</v>
      </c>
      <c r="CK15" s="79">
        <v>1</v>
      </c>
      <c r="CL15" s="79">
        <v>1</v>
      </c>
      <c r="CM15" s="66"/>
      <c r="CN15" s="76"/>
      <c r="CO15" s="78" t="str">
        <f t="shared" si="6"/>
        <v>MXN - Bono Dual</v>
      </c>
      <c r="CP15" s="79">
        <v>0.28999999999999998</v>
      </c>
      <c r="CQ15" s="79">
        <v>0.28999999999999998</v>
      </c>
      <c r="CR15" s="79">
        <v>0.28999999999999998</v>
      </c>
      <c r="CS15" s="79">
        <v>0.28999999999999998</v>
      </c>
      <c r="CT15" s="79">
        <v>0.28999999999999998</v>
      </c>
      <c r="CU15" s="79">
        <v>0.28999999999999998</v>
      </c>
      <c r="CV15" s="79">
        <v>0.28999999999999998</v>
      </c>
      <c r="CW15" s="79">
        <v>0.28999999999999998</v>
      </c>
      <c r="CX15" s="79">
        <v>0.28999999999999998</v>
      </c>
      <c r="CY15" s="79">
        <v>0.28999999999999998</v>
      </c>
      <c r="CZ15" s="79">
        <v>0.28999999999999998</v>
      </c>
      <c r="DA15" s="79">
        <v>0.28999999999999998</v>
      </c>
      <c r="DB15" s="68"/>
      <c r="DC15" s="66"/>
      <c r="DD15" s="78" t="str">
        <f t="shared" si="7"/>
        <v>MXN - Bono Dual</v>
      </c>
      <c r="DE15" s="79">
        <v>0</v>
      </c>
      <c r="DF15" s="79">
        <v>0</v>
      </c>
      <c r="DG15" s="79">
        <v>0</v>
      </c>
      <c r="DH15" s="79">
        <v>0</v>
      </c>
      <c r="DI15" s="79">
        <v>0</v>
      </c>
      <c r="DJ15" s="79">
        <v>0</v>
      </c>
      <c r="DK15" s="79">
        <v>0</v>
      </c>
      <c r="DL15" s="79">
        <v>0</v>
      </c>
      <c r="DM15" s="79">
        <v>0</v>
      </c>
      <c r="DN15" s="79">
        <v>0</v>
      </c>
      <c r="DO15" s="79">
        <v>0</v>
      </c>
      <c r="DP15" s="79">
        <v>0</v>
      </c>
      <c r="DQ15" s="82"/>
      <c r="DR15" s="76"/>
      <c r="DS15" s="78" t="str">
        <f t="shared" si="8"/>
        <v>MXN - Bono Dual</v>
      </c>
      <c r="DT15" s="79">
        <v>0</v>
      </c>
      <c r="DU15" s="79">
        <v>0</v>
      </c>
      <c r="DV15" s="79">
        <v>0</v>
      </c>
      <c r="DW15" s="79">
        <v>0</v>
      </c>
      <c r="DX15" s="79">
        <v>0</v>
      </c>
      <c r="DY15" s="79">
        <v>0</v>
      </c>
      <c r="DZ15" s="79">
        <v>0</v>
      </c>
      <c r="EA15" s="79">
        <v>0</v>
      </c>
      <c r="EB15" s="79">
        <v>0</v>
      </c>
      <c r="EC15" s="79">
        <v>0</v>
      </c>
      <c r="ED15" s="79">
        <v>0</v>
      </c>
      <c r="EE15" s="79">
        <v>0</v>
      </c>
      <c r="EF15" s="66"/>
      <c r="EG15" s="76"/>
      <c r="EH15" s="78" t="str">
        <f t="shared" si="9"/>
        <v>MXN - Bono Dual</v>
      </c>
      <c r="EI15" s="79">
        <v>0</v>
      </c>
      <c r="EJ15" s="79">
        <v>0</v>
      </c>
      <c r="EK15" s="79">
        <v>0</v>
      </c>
      <c r="EL15" s="79">
        <v>0</v>
      </c>
      <c r="EM15" s="79">
        <v>0</v>
      </c>
      <c r="EN15" s="79">
        <v>0</v>
      </c>
      <c r="EO15" s="79">
        <v>0</v>
      </c>
      <c r="EP15" s="79">
        <v>0</v>
      </c>
      <c r="EQ15" s="79">
        <v>0</v>
      </c>
      <c r="ER15" s="79">
        <v>0</v>
      </c>
      <c r="ES15" s="79">
        <v>0</v>
      </c>
      <c r="ET15" s="79">
        <v>0</v>
      </c>
      <c r="EU15" s="66"/>
      <c r="EV15" s="66" t="s">
        <v>337</v>
      </c>
      <c r="EW15" s="66"/>
      <c r="EX15" s="66"/>
      <c r="EY15" s="66"/>
      <c r="EZ15" s="66"/>
      <c r="FA15" s="66"/>
      <c r="FB15" s="66"/>
      <c r="FC15" s="66"/>
      <c r="FD15" s="66"/>
      <c r="FE15" s="66"/>
      <c r="FF15" s="66"/>
      <c r="FG15" s="66"/>
      <c r="FH15" s="66"/>
      <c r="FI15" s="66"/>
      <c r="FJ15" s="76"/>
      <c r="FK15" s="78" t="str">
        <f t="shared" si="10"/>
        <v>MXN - Bono Dual</v>
      </c>
      <c r="FL15" s="79">
        <v>0</v>
      </c>
      <c r="FM15" s="79">
        <v>0</v>
      </c>
      <c r="FN15" s="79">
        <v>0</v>
      </c>
      <c r="FO15" s="79">
        <v>0</v>
      </c>
      <c r="FP15" s="79">
        <v>0</v>
      </c>
      <c r="FQ15" s="79">
        <v>0</v>
      </c>
      <c r="FR15" s="79">
        <v>0</v>
      </c>
      <c r="FS15" s="79">
        <v>0</v>
      </c>
      <c r="FT15" s="79">
        <v>0</v>
      </c>
      <c r="FU15" s="79">
        <v>0</v>
      </c>
      <c r="FV15" s="79">
        <v>0</v>
      </c>
      <c r="FW15" s="79">
        <v>0</v>
      </c>
      <c r="FX15" s="68"/>
      <c r="FY15" s="76"/>
      <c r="FZ15" s="78" t="str">
        <f t="shared" si="11"/>
        <v>MXN - Bono Dual</v>
      </c>
      <c r="GA15" s="79" t="s">
        <v>338</v>
      </c>
      <c r="GB15" s="79" t="s">
        <v>338</v>
      </c>
      <c r="GC15" s="79" t="s">
        <v>338</v>
      </c>
      <c r="GD15" s="79" t="s">
        <v>338</v>
      </c>
      <c r="GE15" s="79" t="s">
        <v>338</v>
      </c>
      <c r="GF15" s="79" t="s">
        <v>338</v>
      </c>
      <c r="GG15" s="79" t="s">
        <v>338</v>
      </c>
      <c r="GH15" s="79" t="s">
        <v>338</v>
      </c>
      <c r="GI15" s="79" t="s">
        <v>338</v>
      </c>
      <c r="GJ15" s="79" t="s">
        <v>338</v>
      </c>
      <c r="GK15" s="79" t="s">
        <v>338</v>
      </c>
      <c r="GL15" s="79" t="s">
        <v>338</v>
      </c>
    </row>
    <row r="16" spans="1:194" ht="14.25" customHeight="1" x14ac:dyDescent="0.35">
      <c r="A16" s="65"/>
      <c r="B16" s="75"/>
      <c r="C16" s="76" t="s">
        <v>427</v>
      </c>
      <c r="D16" s="83">
        <v>0</v>
      </c>
      <c r="E16" s="83">
        <v>0</v>
      </c>
      <c r="F16" s="83">
        <v>0</v>
      </c>
      <c r="G16" s="83">
        <v>0</v>
      </c>
      <c r="H16" s="83">
        <v>0</v>
      </c>
      <c r="I16" s="83">
        <v>0</v>
      </c>
      <c r="J16" s="83">
        <v>0</v>
      </c>
      <c r="K16" s="83">
        <v>0</v>
      </c>
      <c r="L16" s="83">
        <v>0</v>
      </c>
      <c r="M16" s="83">
        <v>0</v>
      </c>
      <c r="N16" s="83">
        <v>0</v>
      </c>
      <c r="O16" s="83">
        <v>0</v>
      </c>
      <c r="P16" s="68"/>
      <c r="Q16" s="66"/>
      <c r="R16" s="78" t="str">
        <f t="shared" si="1"/>
        <v>MXN - Bonos Fijos</v>
      </c>
      <c r="S16" s="79">
        <v>0</v>
      </c>
      <c r="T16" s="79">
        <v>0</v>
      </c>
      <c r="U16" s="79">
        <v>0</v>
      </c>
      <c r="V16" s="79">
        <v>0</v>
      </c>
      <c r="W16" s="79">
        <v>0</v>
      </c>
      <c r="X16" s="79">
        <v>0</v>
      </c>
      <c r="Y16" s="79">
        <v>0</v>
      </c>
      <c r="Z16" s="79">
        <v>0</v>
      </c>
      <c r="AA16" s="79">
        <v>0</v>
      </c>
      <c r="AB16" s="79">
        <v>0</v>
      </c>
      <c r="AC16" s="79">
        <v>0</v>
      </c>
      <c r="AD16" s="79">
        <v>0</v>
      </c>
      <c r="AE16" s="68"/>
      <c r="AF16" s="75"/>
      <c r="AG16" s="78" t="str">
        <f t="shared" si="2"/>
        <v>MXN - Bonos Fijos</v>
      </c>
      <c r="AH16" s="80">
        <v>0</v>
      </c>
      <c r="AI16" s="80">
        <v>0</v>
      </c>
      <c r="AJ16" s="80">
        <v>0</v>
      </c>
      <c r="AK16" s="80">
        <v>0</v>
      </c>
      <c r="AL16" s="80">
        <v>0</v>
      </c>
      <c r="AM16" s="80">
        <v>0</v>
      </c>
      <c r="AN16" s="80">
        <v>0</v>
      </c>
      <c r="AO16" s="80">
        <v>0</v>
      </c>
      <c r="AP16" s="80">
        <v>0</v>
      </c>
      <c r="AQ16" s="80">
        <v>0</v>
      </c>
      <c r="AR16" s="80">
        <v>0</v>
      </c>
      <c r="AS16" s="80">
        <v>0</v>
      </c>
      <c r="AT16" s="68"/>
      <c r="AU16" s="76"/>
      <c r="AV16" s="78" t="str">
        <f t="shared" si="3"/>
        <v>MXN - Bonos Fijos</v>
      </c>
      <c r="AW16" s="80">
        <v>0</v>
      </c>
      <c r="AX16" s="80">
        <v>0</v>
      </c>
      <c r="AY16" s="80">
        <v>0</v>
      </c>
      <c r="AZ16" s="80">
        <v>0</v>
      </c>
      <c r="BA16" s="80">
        <v>0</v>
      </c>
      <c r="BB16" s="80">
        <v>0</v>
      </c>
      <c r="BC16" s="80">
        <v>0</v>
      </c>
      <c r="BD16" s="80">
        <v>0</v>
      </c>
      <c r="BE16" s="80">
        <v>0</v>
      </c>
      <c r="BF16" s="80">
        <v>0</v>
      </c>
      <c r="BG16" s="80">
        <v>0</v>
      </c>
      <c r="BH16" s="80">
        <v>0</v>
      </c>
      <c r="BI16" s="69"/>
      <c r="BJ16" s="76"/>
      <c r="BK16" s="78" t="str">
        <f t="shared" si="4"/>
        <v>MXN - Bonos Fijos</v>
      </c>
      <c r="BL16" s="81" t="s">
        <v>383</v>
      </c>
      <c r="BM16" s="81" t="s">
        <v>383</v>
      </c>
      <c r="BN16" s="81" t="s">
        <v>383</v>
      </c>
      <c r="BO16" s="81" t="s">
        <v>383</v>
      </c>
      <c r="BP16" s="81" t="s">
        <v>383</v>
      </c>
      <c r="BQ16" s="81" t="s">
        <v>383</v>
      </c>
      <c r="BR16" s="81" t="s">
        <v>383</v>
      </c>
      <c r="BS16" s="81" t="s">
        <v>383</v>
      </c>
      <c r="BT16" s="81" t="s">
        <v>383</v>
      </c>
      <c r="BU16" s="81" t="s">
        <v>383</v>
      </c>
      <c r="BV16" s="81" t="s">
        <v>383</v>
      </c>
      <c r="BW16" s="81" t="s">
        <v>383</v>
      </c>
      <c r="BX16" s="66"/>
      <c r="BY16" s="76"/>
      <c r="BZ16" s="78" t="str">
        <f t="shared" si="5"/>
        <v>MXN - Bonos Fijos</v>
      </c>
      <c r="CA16" s="79">
        <v>1</v>
      </c>
      <c r="CB16" s="79">
        <v>1</v>
      </c>
      <c r="CC16" s="79">
        <v>1</v>
      </c>
      <c r="CD16" s="79">
        <v>1</v>
      </c>
      <c r="CE16" s="79">
        <v>1</v>
      </c>
      <c r="CF16" s="79">
        <v>1</v>
      </c>
      <c r="CG16" s="79">
        <v>1</v>
      </c>
      <c r="CH16" s="79">
        <v>1</v>
      </c>
      <c r="CI16" s="79">
        <v>1</v>
      </c>
      <c r="CJ16" s="79">
        <v>1</v>
      </c>
      <c r="CK16" s="79">
        <v>1</v>
      </c>
      <c r="CL16" s="79">
        <v>1</v>
      </c>
      <c r="CM16" s="66"/>
      <c r="CN16" s="76"/>
      <c r="CO16" s="78" t="str">
        <f t="shared" si="6"/>
        <v>MXN - Bonos Fijos</v>
      </c>
      <c r="CP16" s="79">
        <v>0</v>
      </c>
      <c r="CQ16" s="79">
        <v>0</v>
      </c>
      <c r="CR16" s="79">
        <v>0</v>
      </c>
      <c r="CS16" s="79">
        <v>0</v>
      </c>
      <c r="CT16" s="79">
        <v>0</v>
      </c>
      <c r="CU16" s="79">
        <v>0</v>
      </c>
      <c r="CV16" s="79">
        <v>0</v>
      </c>
      <c r="CW16" s="79">
        <v>0</v>
      </c>
      <c r="CX16" s="79">
        <v>0</v>
      </c>
      <c r="CY16" s="79">
        <v>0</v>
      </c>
      <c r="CZ16" s="79">
        <v>0</v>
      </c>
      <c r="DA16" s="79">
        <v>0</v>
      </c>
      <c r="DB16" s="68"/>
      <c r="DC16" s="66"/>
      <c r="DD16" s="78" t="str">
        <f t="shared" si="7"/>
        <v>MXN - Bonos Fijos</v>
      </c>
      <c r="DE16" s="79">
        <v>0</v>
      </c>
      <c r="DF16" s="79">
        <v>0</v>
      </c>
      <c r="DG16" s="79">
        <v>0</v>
      </c>
      <c r="DH16" s="79">
        <v>0</v>
      </c>
      <c r="DI16" s="79">
        <v>0</v>
      </c>
      <c r="DJ16" s="79">
        <v>0</v>
      </c>
      <c r="DK16" s="79">
        <v>0</v>
      </c>
      <c r="DL16" s="79">
        <v>0</v>
      </c>
      <c r="DM16" s="79">
        <v>0</v>
      </c>
      <c r="DN16" s="79">
        <v>0</v>
      </c>
      <c r="DO16" s="79">
        <v>0</v>
      </c>
      <c r="DP16" s="79">
        <v>0</v>
      </c>
      <c r="DQ16" s="82"/>
      <c r="DR16" s="76"/>
      <c r="DS16" s="78" t="str">
        <f t="shared" si="8"/>
        <v>MXN - Bonos Fijos</v>
      </c>
      <c r="DT16" s="79">
        <v>0</v>
      </c>
      <c r="DU16" s="79">
        <v>0</v>
      </c>
      <c r="DV16" s="79">
        <v>0</v>
      </c>
      <c r="DW16" s="79">
        <v>0</v>
      </c>
      <c r="DX16" s="79">
        <v>0</v>
      </c>
      <c r="DY16" s="79">
        <v>0</v>
      </c>
      <c r="DZ16" s="79">
        <v>0</v>
      </c>
      <c r="EA16" s="79">
        <v>0</v>
      </c>
      <c r="EB16" s="79">
        <v>0</v>
      </c>
      <c r="EC16" s="79">
        <v>0</v>
      </c>
      <c r="ED16" s="79">
        <v>0</v>
      </c>
      <c r="EE16" s="79">
        <v>0</v>
      </c>
      <c r="EF16" s="66"/>
      <c r="EG16" s="76"/>
      <c r="EH16" s="78" t="str">
        <f t="shared" si="9"/>
        <v>MXN - Bonos Fijos</v>
      </c>
      <c r="EI16" s="79">
        <v>0</v>
      </c>
      <c r="EJ16" s="79">
        <v>0</v>
      </c>
      <c r="EK16" s="79">
        <v>0</v>
      </c>
      <c r="EL16" s="79">
        <v>0</v>
      </c>
      <c r="EM16" s="79">
        <v>0</v>
      </c>
      <c r="EN16" s="79">
        <v>0</v>
      </c>
      <c r="EO16" s="79">
        <v>0</v>
      </c>
      <c r="EP16" s="79">
        <v>0</v>
      </c>
      <c r="EQ16" s="79">
        <v>0</v>
      </c>
      <c r="ER16" s="79">
        <v>0</v>
      </c>
      <c r="ES16" s="79">
        <v>0</v>
      </c>
      <c r="ET16" s="79">
        <v>0</v>
      </c>
      <c r="EU16" s="66"/>
      <c r="EV16" s="66" t="s">
        <v>469</v>
      </c>
      <c r="EW16" s="66"/>
      <c r="EX16" s="66"/>
      <c r="EY16" s="66"/>
      <c r="EZ16" s="66"/>
      <c r="FA16" s="66"/>
      <c r="FB16" s="66"/>
      <c r="FC16" s="66"/>
      <c r="FD16" s="66"/>
      <c r="FE16" s="66"/>
      <c r="FF16" s="66"/>
      <c r="FG16" s="66"/>
      <c r="FH16" s="66"/>
      <c r="FI16" s="66"/>
      <c r="FJ16" s="76"/>
      <c r="FK16" s="78" t="str">
        <f t="shared" si="10"/>
        <v>MXN - Bonos Fijos</v>
      </c>
      <c r="FL16" s="79">
        <v>0</v>
      </c>
      <c r="FM16" s="79">
        <v>0</v>
      </c>
      <c r="FN16" s="79">
        <v>0</v>
      </c>
      <c r="FO16" s="79">
        <v>0</v>
      </c>
      <c r="FP16" s="79">
        <v>0</v>
      </c>
      <c r="FQ16" s="79">
        <v>0</v>
      </c>
      <c r="FR16" s="79">
        <v>0</v>
      </c>
      <c r="FS16" s="79">
        <v>0</v>
      </c>
      <c r="FT16" s="79">
        <v>0</v>
      </c>
      <c r="FU16" s="79">
        <v>0</v>
      </c>
      <c r="FV16" s="79">
        <v>0</v>
      </c>
      <c r="FW16" s="79">
        <v>0</v>
      </c>
      <c r="FX16" s="68"/>
      <c r="FY16" s="76"/>
      <c r="FZ16" s="78" t="str">
        <f t="shared" si="11"/>
        <v>MXN - Bonos Fijos</v>
      </c>
      <c r="GA16" s="79" t="s">
        <v>338</v>
      </c>
      <c r="GB16" s="79" t="s">
        <v>338</v>
      </c>
      <c r="GC16" s="79" t="s">
        <v>338</v>
      </c>
      <c r="GD16" s="79" t="s">
        <v>338</v>
      </c>
      <c r="GE16" s="79" t="s">
        <v>338</v>
      </c>
      <c r="GF16" s="79" t="s">
        <v>338</v>
      </c>
      <c r="GG16" s="79" t="s">
        <v>338</v>
      </c>
      <c r="GH16" s="79" t="s">
        <v>338</v>
      </c>
      <c r="GI16" s="79" t="s">
        <v>338</v>
      </c>
      <c r="GJ16" s="79" t="s">
        <v>338</v>
      </c>
      <c r="GK16" s="79" t="s">
        <v>338</v>
      </c>
      <c r="GL16" s="79" t="s">
        <v>338</v>
      </c>
    </row>
    <row r="17" spans="1:194" ht="14.25" customHeight="1" x14ac:dyDescent="0.35">
      <c r="A17" s="65"/>
      <c r="B17" s="75"/>
      <c r="C17" s="76" t="s">
        <v>428</v>
      </c>
      <c r="D17" s="77">
        <v>-221995784.22855914</v>
      </c>
      <c r="E17" s="77">
        <v>78004215.771440879</v>
      </c>
      <c r="F17" s="77">
        <v>78004215.771440879</v>
      </c>
      <c r="G17" s="77">
        <v>78004215.771440879</v>
      </c>
      <c r="H17" s="77">
        <v>78004215.771440879</v>
      </c>
      <c r="I17" s="77">
        <v>78004215.771440879</v>
      </c>
      <c r="J17" s="77">
        <v>78004215.771440879</v>
      </c>
      <c r="K17" s="77">
        <v>78004215.771440879</v>
      </c>
      <c r="L17" s="77">
        <v>78004215.771440879</v>
      </c>
      <c r="M17" s="77">
        <v>78004215.771440879</v>
      </c>
      <c r="N17" s="77">
        <v>78004215.771440879</v>
      </c>
      <c r="O17" s="77">
        <v>78004215.771440879</v>
      </c>
      <c r="P17" s="66"/>
      <c r="Q17" s="66"/>
      <c r="R17" s="78" t="str">
        <f t="shared" si="1"/>
        <v>MXN - Prestamo Consumo Fijo</v>
      </c>
      <c r="S17" s="79">
        <v>0</v>
      </c>
      <c r="T17" s="79">
        <v>0</v>
      </c>
      <c r="U17" s="79">
        <v>0</v>
      </c>
      <c r="V17" s="79">
        <v>0</v>
      </c>
      <c r="W17" s="79">
        <v>0</v>
      </c>
      <c r="X17" s="79">
        <v>0</v>
      </c>
      <c r="Y17" s="79">
        <v>0</v>
      </c>
      <c r="Z17" s="79">
        <v>0</v>
      </c>
      <c r="AA17" s="79">
        <v>0</v>
      </c>
      <c r="AB17" s="79">
        <v>0</v>
      </c>
      <c r="AC17" s="79">
        <v>0</v>
      </c>
      <c r="AD17" s="79">
        <v>0</v>
      </c>
      <c r="AE17" s="66"/>
      <c r="AF17" s="75"/>
      <c r="AG17" s="78" t="str">
        <f t="shared" si="2"/>
        <v>MXN - Prestamo Consumo Fijo</v>
      </c>
      <c r="AH17" s="80">
        <v>0.3</v>
      </c>
      <c r="AI17" s="80">
        <v>0.3</v>
      </c>
      <c r="AJ17" s="80">
        <v>0.3</v>
      </c>
      <c r="AK17" s="80">
        <v>0.3</v>
      </c>
      <c r="AL17" s="80">
        <v>0.3</v>
      </c>
      <c r="AM17" s="80">
        <v>0.3</v>
      </c>
      <c r="AN17" s="80">
        <v>0.3</v>
      </c>
      <c r="AO17" s="80">
        <v>0.3</v>
      </c>
      <c r="AP17" s="80">
        <v>0.3</v>
      </c>
      <c r="AQ17" s="80">
        <v>0.3</v>
      </c>
      <c r="AR17" s="80">
        <v>0.3</v>
      </c>
      <c r="AS17" s="80">
        <v>0.3</v>
      </c>
      <c r="AT17" s="66"/>
      <c r="AU17" s="76"/>
      <c r="AV17" s="78" t="str">
        <f t="shared" si="3"/>
        <v>MXN - Prestamo Consumo Fijo</v>
      </c>
      <c r="AW17" s="80">
        <v>0</v>
      </c>
      <c r="AX17" s="80">
        <v>0</v>
      </c>
      <c r="AY17" s="80">
        <v>0</v>
      </c>
      <c r="AZ17" s="80">
        <v>0</v>
      </c>
      <c r="BA17" s="80">
        <v>0</v>
      </c>
      <c r="BB17" s="80">
        <v>0</v>
      </c>
      <c r="BC17" s="80">
        <v>0</v>
      </c>
      <c r="BD17" s="80">
        <v>0</v>
      </c>
      <c r="BE17" s="80">
        <v>0</v>
      </c>
      <c r="BF17" s="80">
        <v>0</v>
      </c>
      <c r="BG17" s="80">
        <v>0</v>
      </c>
      <c r="BH17" s="80">
        <v>0</v>
      </c>
      <c r="BI17" s="66"/>
      <c r="BJ17" s="76"/>
      <c r="BK17" s="78" t="str">
        <f t="shared" si="4"/>
        <v>MXN - Prestamo Consumo Fijo</v>
      </c>
      <c r="BL17" s="81" t="s">
        <v>338</v>
      </c>
      <c r="BM17" s="81" t="s">
        <v>338</v>
      </c>
      <c r="BN17" s="81" t="s">
        <v>338</v>
      </c>
      <c r="BO17" s="81" t="s">
        <v>338</v>
      </c>
      <c r="BP17" s="81" t="s">
        <v>338</v>
      </c>
      <c r="BQ17" s="81" t="s">
        <v>338</v>
      </c>
      <c r="BR17" s="81" t="s">
        <v>338</v>
      </c>
      <c r="BS17" s="81" t="s">
        <v>338</v>
      </c>
      <c r="BT17" s="81" t="s">
        <v>338</v>
      </c>
      <c r="BU17" s="81" t="s">
        <v>338</v>
      </c>
      <c r="BV17" s="81" t="s">
        <v>338</v>
      </c>
      <c r="BW17" s="81" t="s">
        <v>338</v>
      </c>
      <c r="BX17" s="66"/>
      <c r="BY17" s="76"/>
      <c r="BZ17" s="78" t="str">
        <f t="shared" si="5"/>
        <v>MXN - Prestamo Consumo Fijo</v>
      </c>
      <c r="CA17" s="79">
        <v>1</v>
      </c>
      <c r="CB17" s="79">
        <v>1</v>
      </c>
      <c r="CC17" s="79">
        <v>1</v>
      </c>
      <c r="CD17" s="79">
        <v>1</v>
      </c>
      <c r="CE17" s="79">
        <v>1</v>
      </c>
      <c r="CF17" s="79">
        <v>1</v>
      </c>
      <c r="CG17" s="79">
        <v>1</v>
      </c>
      <c r="CH17" s="79">
        <v>1</v>
      </c>
      <c r="CI17" s="79">
        <v>1</v>
      </c>
      <c r="CJ17" s="79">
        <v>1</v>
      </c>
      <c r="CK17" s="79">
        <v>1</v>
      </c>
      <c r="CL17" s="79">
        <v>1</v>
      </c>
      <c r="CM17" s="66"/>
      <c r="CN17" s="76"/>
      <c r="CO17" s="78" t="str">
        <f t="shared" si="6"/>
        <v>MXN - Prestamo Consumo Fijo</v>
      </c>
      <c r="CP17" s="79">
        <v>0</v>
      </c>
      <c r="CQ17" s="79">
        <v>0</v>
      </c>
      <c r="CR17" s="79">
        <v>0</v>
      </c>
      <c r="CS17" s="79">
        <v>0</v>
      </c>
      <c r="CT17" s="79">
        <v>0</v>
      </c>
      <c r="CU17" s="79">
        <v>0</v>
      </c>
      <c r="CV17" s="79">
        <v>0</v>
      </c>
      <c r="CW17" s="79">
        <v>0</v>
      </c>
      <c r="CX17" s="79">
        <v>0</v>
      </c>
      <c r="CY17" s="79">
        <v>0</v>
      </c>
      <c r="CZ17" s="79">
        <v>0</v>
      </c>
      <c r="DA17" s="79">
        <v>0</v>
      </c>
      <c r="DB17" s="66"/>
      <c r="DC17" s="66"/>
      <c r="DD17" s="78" t="str">
        <f t="shared" si="7"/>
        <v>MXN - Prestamo Consumo Fijo</v>
      </c>
      <c r="DE17" s="79">
        <v>0</v>
      </c>
      <c r="DF17" s="79">
        <v>0</v>
      </c>
      <c r="DG17" s="79">
        <v>0</v>
      </c>
      <c r="DH17" s="79">
        <v>0</v>
      </c>
      <c r="DI17" s="79">
        <v>0</v>
      </c>
      <c r="DJ17" s="79">
        <v>0</v>
      </c>
      <c r="DK17" s="79">
        <v>0</v>
      </c>
      <c r="DL17" s="79">
        <v>0</v>
      </c>
      <c r="DM17" s="79">
        <v>0</v>
      </c>
      <c r="DN17" s="79">
        <v>0</v>
      </c>
      <c r="DO17" s="79">
        <v>0</v>
      </c>
      <c r="DP17" s="79">
        <v>0</v>
      </c>
      <c r="DQ17" s="66"/>
      <c r="DR17" s="76"/>
      <c r="DS17" s="78" t="str">
        <f t="shared" si="8"/>
        <v>MXN - Prestamo Consumo Fijo</v>
      </c>
      <c r="DT17" s="79">
        <v>0</v>
      </c>
      <c r="DU17" s="79">
        <v>0</v>
      </c>
      <c r="DV17" s="79">
        <v>0</v>
      </c>
      <c r="DW17" s="79">
        <v>0</v>
      </c>
      <c r="DX17" s="79">
        <v>0</v>
      </c>
      <c r="DY17" s="79">
        <v>0</v>
      </c>
      <c r="DZ17" s="79">
        <v>0</v>
      </c>
      <c r="EA17" s="79">
        <v>0</v>
      </c>
      <c r="EB17" s="79">
        <v>0</v>
      </c>
      <c r="EC17" s="79">
        <v>0</v>
      </c>
      <c r="ED17" s="79">
        <v>0</v>
      </c>
      <c r="EE17" s="79">
        <v>0</v>
      </c>
      <c r="EF17" s="66"/>
      <c r="EG17" s="76"/>
      <c r="EH17" s="78" t="str">
        <f t="shared" si="9"/>
        <v>MXN - Prestamo Consumo Fijo</v>
      </c>
      <c r="EI17" s="79">
        <v>0</v>
      </c>
      <c r="EJ17" s="79">
        <v>0</v>
      </c>
      <c r="EK17" s="79">
        <v>0</v>
      </c>
      <c r="EL17" s="79">
        <v>0</v>
      </c>
      <c r="EM17" s="79">
        <v>0</v>
      </c>
      <c r="EN17" s="79">
        <v>0</v>
      </c>
      <c r="EO17" s="79">
        <v>0</v>
      </c>
      <c r="EP17" s="79">
        <v>0</v>
      </c>
      <c r="EQ17" s="79">
        <v>0</v>
      </c>
      <c r="ER17" s="79">
        <v>0</v>
      </c>
      <c r="ES17" s="79">
        <v>0</v>
      </c>
      <c r="ET17" s="79">
        <v>0</v>
      </c>
      <c r="EU17" s="66"/>
      <c r="EV17" s="66" t="s">
        <v>383</v>
      </c>
      <c r="EW17" s="66"/>
      <c r="EX17" s="66"/>
      <c r="EY17" s="66"/>
      <c r="EZ17" s="66"/>
      <c r="FA17" s="66"/>
      <c r="FB17" s="66"/>
      <c r="FC17" s="66"/>
      <c r="FD17" s="66"/>
      <c r="FE17" s="66"/>
      <c r="FF17" s="66"/>
      <c r="FG17" s="66"/>
      <c r="FH17" s="66"/>
      <c r="FI17" s="66"/>
      <c r="FJ17" s="76"/>
      <c r="FK17" s="78" t="str">
        <f t="shared" si="10"/>
        <v>MXN - Prestamo Consumo Fijo</v>
      </c>
      <c r="FL17" s="79">
        <v>0</v>
      </c>
      <c r="FM17" s="79">
        <v>0</v>
      </c>
      <c r="FN17" s="79">
        <v>0</v>
      </c>
      <c r="FO17" s="79">
        <v>0</v>
      </c>
      <c r="FP17" s="79">
        <v>0</v>
      </c>
      <c r="FQ17" s="79">
        <v>0</v>
      </c>
      <c r="FR17" s="79">
        <v>0</v>
      </c>
      <c r="FS17" s="79">
        <v>0</v>
      </c>
      <c r="FT17" s="79">
        <v>0</v>
      </c>
      <c r="FU17" s="79">
        <v>0</v>
      </c>
      <c r="FV17" s="79">
        <v>0</v>
      </c>
      <c r="FW17" s="79">
        <v>0</v>
      </c>
      <c r="FX17" s="68"/>
      <c r="FY17" s="76"/>
      <c r="FZ17" s="78" t="str">
        <f t="shared" si="11"/>
        <v>MXN - Prestamo Consumo Fijo</v>
      </c>
      <c r="GA17" s="79" t="s">
        <v>338</v>
      </c>
      <c r="GB17" s="79" t="s">
        <v>338</v>
      </c>
      <c r="GC17" s="79" t="s">
        <v>338</v>
      </c>
      <c r="GD17" s="79" t="s">
        <v>338</v>
      </c>
      <c r="GE17" s="79" t="s">
        <v>338</v>
      </c>
      <c r="GF17" s="79" t="s">
        <v>338</v>
      </c>
      <c r="GG17" s="79" t="s">
        <v>338</v>
      </c>
      <c r="GH17" s="79" t="s">
        <v>338</v>
      </c>
      <c r="GI17" s="79" t="s">
        <v>338</v>
      </c>
      <c r="GJ17" s="79" t="s">
        <v>338</v>
      </c>
      <c r="GK17" s="79" t="s">
        <v>338</v>
      </c>
      <c r="GL17" s="79" t="s">
        <v>338</v>
      </c>
    </row>
    <row r="18" spans="1:194" ht="14.25" customHeight="1" x14ac:dyDescent="0.35">
      <c r="A18" s="65"/>
      <c r="B18" s="75"/>
      <c r="C18" s="76" t="s">
        <v>429</v>
      </c>
      <c r="D18" s="77">
        <v>0</v>
      </c>
      <c r="E18" s="77">
        <v>0</v>
      </c>
      <c r="F18" s="77">
        <v>0</v>
      </c>
      <c r="G18" s="77">
        <v>0</v>
      </c>
      <c r="H18" s="77">
        <v>0</v>
      </c>
      <c r="I18" s="77">
        <v>0</v>
      </c>
      <c r="J18" s="77">
        <v>0</v>
      </c>
      <c r="K18" s="77">
        <v>0</v>
      </c>
      <c r="L18" s="77">
        <v>0</v>
      </c>
      <c r="M18" s="77">
        <v>0</v>
      </c>
      <c r="N18" s="77">
        <v>0</v>
      </c>
      <c r="O18" s="77">
        <v>0</v>
      </c>
      <c r="P18" s="66"/>
      <c r="Q18" s="66"/>
      <c r="R18" s="78" t="str">
        <f t="shared" si="1"/>
        <v>MXN - Prestamo Consumo Variable</v>
      </c>
      <c r="S18" s="79">
        <v>0</v>
      </c>
      <c r="T18" s="79">
        <v>0</v>
      </c>
      <c r="U18" s="79">
        <v>0</v>
      </c>
      <c r="V18" s="79">
        <v>0</v>
      </c>
      <c r="W18" s="79">
        <v>0</v>
      </c>
      <c r="X18" s="79">
        <v>0</v>
      </c>
      <c r="Y18" s="79">
        <v>0</v>
      </c>
      <c r="Z18" s="79">
        <v>0</v>
      </c>
      <c r="AA18" s="79">
        <v>0</v>
      </c>
      <c r="AB18" s="79">
        <v>0</v>
      </c>
      <c r="AC18" s="79">
        <v>0</v>
      </c>
      <c r="AD18" s="79">
        <v>0</v>
      </c>
      <c r="AE18" s="66"/>
      <c r="AF18" s="75"/>
      <c r="AG18" s="78" t="str">
        <f t="shared" si="2"/>
        <v>MXN - Prestamo Consumo Variable</v>
      </c>
      <c r="AH18" s="80">
        <v>0</v>
      </c>
      <c r="AI18" s="80">
        <v>0</v>
      </c>
      <c r="AJ18" s="80">
        <v>0</v>
      </c>
      <c r="AK18" s="80">
        <v>0</v>
      </c>
      <c r="AL18" s="80">
        <v>0</v>
      </c>
      <c r="AM18" s="80">
        <v>0</v>
      </c>
      <c r="AN18" s="80">
        <v>0</v>
      </c>
      <c r="AO18" s="80">
        <v>0</v>
      </c>
      <c r="AP18" s="80">
        <v>0</v>
      </c>
      <c r="AQ18" s="80">
        <v>0</v>
      </c>
      <c r="AR18" s="80">
        <v>0</v>
      </c>
      <c r="AS18" s="80">
        <v>0</v>
      </c>
      <c r="AT18" s="66"/>
      <c r="AU18" s="76"/>
      <c r="AV18" s="78" t="str">
        <f t="shared" si="3"/>
        <v>MXN - Prestamo Consumo Variable</v>
      </c>
      <c r="AW18" s="80">
        <v>0</v>
      </c>
      <c r="AX18" s="80">
        <v>0</v>
      </c>
      <c r="AY18" s="80">
        <v>0</v>
      </c>
      <c r="AZ18" s="80">
        <v>0</v>
      </c>
      <c r="BA18" s="80">
        <v>0</v>
      </c>
      <c r="BB18" s="80">
        <v>0</v>
      </c>
      <c r="BC18" s="80">
        <v>0</v>
      </c>
      <c r="BD18" s="80">
        <v>0</v>
      </c>
      <c r="BE18" s="80">
        <v>0</v>
      </c>
      <c r="BF18" s="80">
        <v>0</v>
      </c>
      <c r="BG18" s="80">
        <v>0</v>
      </c>
      <c r="BH18" s="80">
        <v>0</v>
      </c>
      <c r="BI18" s="66"/>
      <c r="BJ18" s="76"/>
      <c r="BK18" s="78" t="str">
        <f t="shared" si="4"/>
        <v>MXN - Prestamo Consumo Variable</v>
      </c>
      <c r="BL18" s="81" t="s">
        <v>338</v>
      </c>
      <c r="BM18" s="81" t="s">
        <v>338</v>
      </c>
      <c r="BN18" s="81" t="s">
        <v>338</v>
      </c>
      <c r="BO18" s="81" t="s">
        <v>338</v>
      </c>
      <c r="BP18" s="81" t="s">
        <v>338</v>
      </c>
      <c r="BQ18" s="81" t="s">
        <v>338</v>
      </c>
      <c r="BR18" s="81" t="s">
        <v>338</v>
      </c>
      <c r="BS18" s="81" t="s">
        <v>338</v>
      </c>
      <c r="BT18" s="81" t="s">
        <v>338</v>
      </c>
      <c r="BU18" s="81" t="s">
        <v>338</v>
      </c>
      <c r="BV18" s="81" t="s">
        <v>338</v>
      </c>
      <c r="BW18" s="81" t="s">
        <v>338</v>
      </c>
      <c r="BX18" s="66"/>
      <c r="BY18" s="76"/>
      <c r="BZ18" s="78" t="str">
        <f t="shared" si="5"/>
        <v>MXN - Prestamo Consumo Variable</v>
      </c>
      <c r="CA18" s="79">
        <v>1</v>
      </c>
      <c r="CB18" s="79">
        <v>1</v>
      </c>
      <c r="CC18" s="79">
        <v>1</v>
      </c>
      <c r="CD18" s="79">
        <v>1</v>
      </c>
      <c r="CE18" s="79">
        <v>1</v>
      </c>
      <c r="CF18" s="79">
        <v>1</v>
      </c>
      <c r="CG18" s="79">
        <v>1</v>
      </c>
      <c r="CH18" s="79">
        <v>1</v>
      </c>
      <c r="CI18" s="79">
        <v>1</v>
      </c>
      <c r="CJ18" s="79">
        <v>1</v>
      </c>
      <c r="CK18" s="79">
        <v>1</v>
      </c>
      <c r="CL18" s="79">
        <v>1</v>
      </c>
      <c r="CM18" s="66"/>
      <c r="CN18" s="76"/>
      <c r="CO18" s="78" t="str">
        <f t="shared" si="6"/>
        <v>MXN - Prestamo Consumo Variable</v>
      </c>
      <c r="CP18" s="79">
        <v>0</v>
      </c>
      <c r="CQ18" s="79">
        <v>0</v>
      </c>
      <c r="CR18" s="79">
        <v>0</v>
      </c>
      <c r="CS18" s="79">
        <v>0</v>
      </c>
      <c r="CT18" s="79">
        <v>0</v>
      </c>
      <c r="CU18" s="79">
        <v>0</v>
      </c>
      <c r="CV18" s="79">
        <v>0</v>
      </c>
      <c r="CW18" s="79">
        <v>0</v>
      </c>
      <c r="CX18" s="79">
        <v>0</v>
      </c>
      <c r="CY18" s="79">
        <v>0</v>
      </c>
      <c r="CZ18" s="79">
        <v>0</v>
      </c>
      <c r="DA18" s="79">
        <v>0</v>
      </c>
      <c r="DB18" s="66"/>
      <c r="DC18" s="66"/>
      <c r="DD18" s="78" t="str">
        <f t="shared" si="7"/>
        <v>MXN - Prestamo Consumo Variable</v>
      </c>
      <c r="DE18" s="79">
        <v>0</v>
      </c>
      <c r="DF18" s="79">
        <v>0</v>
      </c>
      <c r="DG18" s="79">
        <v>0</v>
      </c>
      <c r="DH18" s="79">
        <v>0</v>
      </c>
      <c r="DI18" s="79">
        <v>0</v>
      </c>
      <c r="DJ18" s="79">
        <v>0</v>
      </c>
      <c r="DK18" s="79">
        <v>0</v>
      </c>
      <c r="DL18" s="79">
        <v>0</v>
      </c>
      <c r="DM18" s="79">
        <v>0</v>
      </c>
      <c r="DN18" s="79">
        <v>0</v>
      </c>
      <c r="DO18" s="79">
        <v>0</v>
      </c>
      <c r="DP18" s="79">
        <v>0</v>
      </c>
      <c r="DQ18" s="66"/>
      <c r="DR18" s="76"/>
      <c r="DS18" s="78" t="str">
        <f t="shared" si="8"/>
        <v>MXN - Prestamo Consumo Variable</v>
      </c>
      <c r="DT18" s="79">
        <v>0</v>
      </c>
      <c r="DU18" s="79">
        <v>0</v>
      </c>
      <c r="DV18" s="79">
        <v>0</v>
      </c>
      <c r="DW18" s="79">
        <v>0</v>
      </c>
      <c r="DX18" s="79">
        <v>0</v>
      </c>
      <c r="DY18" s="79">
        <v>0</v>
      </c>
      <c r="DZ18" s="79">
        <v>0</v>
      </c>
      <c r="EA18" s="79">
        <v>0</v>
      </c>
      <c r="EB18" s="79">
        <v>0</v>
      </c>
      <c r="EC18" s="79">
        <v>0</v>
      </c>
      <c r="ED18" s="79">
        <v>0</v>
      </c>
      <c r="EE18" s="79">
        <v>0</v>
      </c>
      <c r="EF18" s="66"/>
      <c r="EG18" s="76"/>
      <c r="EH18" s="78" t="str">
        <f t="shared" si="9"/>
        <v>MXN - Prestamo Consumo Variable</v>
      </c>
      <c r="EI18" s="79">
        <v>0</v>
      </c>
      <c r="EJ18" s="79">
        <v>0</v>
      </c>
      <c r="EK18" s="79">
        <v>0</v>
      </c>
      <c r="EL18" s="79">
        <v>0</v>
      </c>
      <c r="EM18" s="79">
        <v>0</v>
      </c>
      <c r="EN18" s="79">
        <v>0</v>
      </c>
      <c r="EO18" s="79">
        <v>0</v>
      </c>
      <c r="EP18" s="79">
        <v>0</v>
      </c>
      <c r="EQ18" s="79">
        <v>0</v>
      </c>
      <c r="ER18" s="79">
        <v>0</v>
      </c>
      <c r="ES18" s="79">
        <v>0</v>
      </c>
      <c r="ET18" s="79">
        <v>0</v>
      </c>
      <c r="EU18" s="66"/>
      <c r="EV18" s="66"/>
      <c r="EW18" s="66"/>
      <c r="EX18" s="66"/>
      <c r="EY18" s="66"/>
      <c r="EZ18" s="66"/>
      <c r="FA18" s="66"/>
      <c r="FB18" s="66"/>
      <c r="FC18" s="66"/>
      <c r="FD18" s="66"/>
      <c r="FE18" s="66"/>
      <c r="FF18" s="66"/>
      <c r="FG18" s="66"/>
      <c r="FH18" s="66"/>
      <c r="FI18" s="66"/>
      <c r="FJ18" s="76"/>
      <c r="FK18" s="78" t="str">
        <f t="shared" si="10"/>
        <v>MXN - Prestamo Consumo Variable</v>
      </c>
      <c r="FL18" s="79">
        <v>0</v>
      </c>
      <c r="FM18" s="79">
        <v>0</v>
      </c>
      <c r="FN18" s="79">
        <v>0</v>
      </c>
      <c r="FO18" s="79">
        <v>0</v>
      </c>
      <c r="FP18" s="79">
        <v>0</v>
      </c>
      <c r="FQ18" s="79">
        <v>0</v>
      </c>
      <c r="FR18" s="79">
        <v>0</v>
      </c>
      <c r="FS18" s="79">
        <v>0</v>
      </c>
      <c r="FT18" s="79">
        <v>0</v>
      </c>
      <c r="FU18" s="79">
        <v>0</v>
      </c>
      <c r="FV18" s="79">
        <v>0</v>
      </c>
      <c r="FW18" s="79">
        <v>0</v>
      </c>
      <c r="FX18" s="68"/>
      <c r="FY18" s="76"/>
      <c r="FZ18" s="78" t="str">
        <f t="shared" si="11"/>
        <v>MXN - Prestamo Consumo Variable</v>
      </c>
      <c r="GA18" s="79" t="s">
        <v>338</v>
      </c>
      <c r="GB18" s="79" t="s">
        <v>338</v>
      </c>
      <c r="GC18" s="79" t="s">
        <v>338</v>
      </c>
      <c r="GD18" s="79" t="s">
        <v>338</v>
      </c>
      <c r="GE18" s="79" t="s">
        <v>338</v>
      </c>
      <c r="GF18" s="79" t="s">
        <v>338</v>
      </c>
      <c r="GG18" s="79" t="s">
        <v>338</v>
      </c>
      <c r="GH18" s="79" t="s">
        <v>338</v>
      </c>
      <c r="GI18" s="79" t="s">
        <v>338</v>
      </c>
      <c r="GJ18" s="79" t="s">
        <v>338</v>
      </c>
      <c r="GK18" s="79" t="s">
        <v>338</v>
      </c>
      <c r="GL18" s="79" t="s">
        <v>338</v>
      </c>
    </row>
    <row r="19" spans="1:194" ht="14.25" customHeight="1" x14ac:dyDescent="0.35">
      <c r="A19" s="65"/>
      <c r="B19" s="75"/>
      <c r="C19" s="76" t="s">
        <v>430</v>
      </c>
      <c r="D19" s="83">
        <v>-105544675.16785127</v>
      </c>
      <c r="E19" s="83">
        <v>14117708.505848402</v>
      </c>
      <c r="F19" s="83">
        <v>14117708.505848402</v>
      </c>
      <c r="G19" s="83">
        <v>14117708.505848402</v>
      </c>
      <c r="H19" s="83">
        <v>14117708.505848402</v>
      </c>
      <c r="I19" s="83">
        <v>14117708.505848402</v>
      </c>
      <c r="J19" s="83">
        <v>14117708.505848402</v>
      </c>
      <c r="K19" s="83">
        <v>14117708.505848402</v>
      </c>
      <c r="L19" s="83">
        <v>14117708.505848402</v>
      </c>
      <c r="M19" s="83">
        <v>14117708.505848402</v>
      </c>
      <c r="N19" s="83">
        <v>14117708.505848402</v>
      </c>
      <c r="O19" s="83">
        <v>14117708.505848402</v>
      </c>
      <c r="P19" s="66"/>
      <c r="Q19" s="66"/>
      <c r="R19" s="78" t="str">
        <f t="shared" si="1"/>
        <v>MXN - Tarjetas de Credito a credito</v>
      </c>
      <c r="S19" s="79">
        <v>0</v>
      </c>
      <c r="T19" s="79">
        <v>0</v>
      </c>
      <c r="U19" s="79">
        <v>0</v>
      </c>
      <c r="V19" s="79">
        <v>0</v>
      </c>
      <c r="W19" s="79">
        <v>0</v>
      </c>
      <c r="X19" s="79">
        <v>0</v>
      </c>
      <c r="Y19" s="79">
        <v>0</v>
      </c>
      <c r="Z19" s="79">
        <v>0</v>
      </c>
      <c r="AA19" s="79">
        <v>0</v>
      </c>
      <c r="AB19" s="79">
        <v>0</v>
      </c>
      <c r="AC19" s="79">
        <v>0</v>
      </c>
      <c r="AD19" s="79">
        <v>0</v>
      </c>
      <c r="AE19" s="66"/>
      <c r="AF19" s="75"/>
      <c r="AG19" s="78" t="str">
        <f t="shared" si="2"/>
        <v>MXN - Tarjetas de Credito a credito</v>
      </c>
      <c r="AH19" s="80">
        <v>0.3</v>
      </c>
      <c r="AI19" s="80">
        <v>0.3</v>
      </c>
      <c r="AJ19" s="80">
        <v>0.3</v>
      </c>
      <c r="AK19" s="80">
        <v>0.3</v>
      </c>
      <c r="AL19" s="80">
        <v>0.3</v>
      </c>
      <c r="AM19" s="80">
        <v>0.3</v>
      </c>
      <c r="AN19" s="80">
        <v>0.3</v>
      </c>
      <c r="AO19" s="80">
        <v>0.3</v>
      </c>
      <c r="AP19" s="80">
        <v>0.3</v>
      </c>
      <c r="AQ19" s="80">
        <v>0.3</v>
      </c>
      <c r="AR19" s="80">
        <v>0.3</v>
      </c>
      <c r="AS19" s="80">
        <v>0.3</v>
      </c>
      <c r="AT19" s="66"/>
      <c r="AU19" s="76"/>
      <c r="AV19" s="78" t="str">
        <f t="shared" si="3"/>
        <v>MXN - Tarjetas de Credito a credito</v>
      </c>
      <c r="AW19" s="80">
        <v>0</v>
      </c>
      <c r="AX19" s="80">
        <v>0</v>
      </c>
      <c r="AY19" s="80">
        <v>0</v>
      </c>
      <c r="AZ19" s="80">
        <v>0</v>
      </c>
      <c r="BA19" s="80">
        <v>0</v>
      </c>
      <c r="BB19" s="80">
        <v>0</v>
      </c>
      <c r="BC19" s="80">
        <v>0</v>
      </c>
      <c r="BD19" s="80">
        <v>0</v>
      </c>
      <c r="BE19" s="80">
        <v>0</v>
      </c>
      <c r="BF19" s="80">
        <v>0</v>
      </c>
      <c r="BG19" s="80">
        <v>0</v>
      </c>
      <c r="BH19" s="80">
        <v>0</v>
      </c>
      <c r="BI19" s="66"/>
      <c r="BJ19" s="76"/>
      <c r="BK19" s="78" t="str">
        <f t="shared" si="4"/>
        <v>MXN - Tarjetas de Credito a credito</v>
      </c>
      <c r="BL19" s="81" t="s">
        <v>382</v>
      </c>
      <c r="BM19" s="81" t="s">
        <v>382</v>
      </c>
      <c r="BN19" s="81" t="s">
        <v>382</v>
      </c>
      <c r="BO19" s="81" t="s">
        <v>382</v>
      </c>
      <c r="BP19" s="81" t="s">
        <v>382</v>
      </c>
      <c r="BQ19" s="81" t="s">
        <v>382</v>
      </c>
      <c r="BR19" s="81" t="s">
        <v>382</v>
      </c>
      <c r="BS19" s="81" t="s">
        <v>382</v>
      </c>
      <c r="BT19" s="81" t="s">
        <v>382</v>
      </c>
      <c r="BU19" s="81" t="s">
        <v>382</v>
      </c>
      <c r="BV19" s="81" t="s">
        <v>382</v>
      </c>
      <c r="BW19" s="81" t="s">
        <v>382</v>
      </c>
      <c r="BX19" s="66"/>
      <c r="BY19" s="76"/>
      <c r="BZ19" s="78" t="str">
        <f t="shared" si="5"/>
        <v>MXN - Tarjetas de Credito a credito</v>
      </c>
      <c r="CA19" s="79">
        <v>1</v>
      </c>
      <c r="CB19" s="79">
        <v>1</v>
      </c>
      <c r="CC19" s="79">
        <v>1</v>
      </c>
      <c r="CD19" s="79">
        <v>1</v>
      </c>
      <c r="CE19" s="79">
        <v>1</v>
      </c>
      <c r="CF19" s="79">
        <v>1</v>
      </c>
      <c r="CG19" s="79">
        <v>1</v>
      </c>
      <c r="CH19" s="79">
        <v>1</v>
      </c>
      <c r="CI19" s="79">
        <v>1</v>
      </c>
      <c r="CJ19" s="79">
        <v>1</v>
      </c>
      <c r="CK19" s="79">
        <v>1</v>
      </c>
      <c r="CL19" s="79">
        <v>1</v>
      </c>
      <c r="CM19" s="66"/>
      <c r="CN19" s="76"/>
      <c r="CO19" s="78" t="str">
        <f t="shared" si="6"/>
        <v>MXN - Tarjetas de Credito a credito</v>
      </c>
      <c r="CP19" s="79">
        <v>0</v>
      </c>
      <c r="CQ19" s="79">
        <v>0</v>
      </c>
      <c r="CR19" s="79">
        <v>0</v>
      </c>
      <c r="CS19" s="79">
        <v>0</v>
      </c>
      <c r="CT19" s="79">
        <v>0</v>
      </c>
      <c r="CU19" s="79">
        <v>0</v>
      </c>
      <c r="CV19" s="79">
        <v>0</v>
      </c>
      <c r="CW19" s="79">
        <v>0</v>
      </c>
      <c r="CX19" s="79">
        <v>0</v>
      </c>
      <c r="CY19" s="79">
        <v>0</v>
      </c>
      <c r="CZ19" s="79">
        <v>0</v>
      </c>
      <c r="DA19" s="79">
        <v>0</v>
      </c>
      <c r="DB19" s="66"/>
      <c r="DC19" s="66"/>
      <c r="DD19" s="78" t="str">
        <f t="shared" si="7"/>
        <v>MXN - Tarjetas de Credito a credito</v>
      </c>
      <c r="DE19" s="79">
        <v>0</v>
      </c>
      <c r="DF19" s="79">
        <v>0</v>
      </c>
      <c r="DG19" s="79">
        <v>0</v>
      </c>
      <c r="DH19" s="79">
        <v>0</v>
      </c>
      <c r="DI19" s="79">
        <v>0</v>
      </c>
      <c r="DJ19" s="79">
        <v>0</v>
      </c>
      <c r="DK19" s="79">
        <v>0</v>
      </c>
      <c r="DL19" s="79">
        <v>0</v>
      </c>
      <c r="DM19" s="79">
        <v>0</v>
      </c>
      <c r="DN19" s="79">
        <v>0</v>
      </c>
      <c r="DO19" s="79">
        <v>0</v>
      </c>
      <c r="DP19" s="79">
        <v>0</v>
      </c>
      <c r="DQ19" s="66"/>
      <c r="DR19" s="76"/>
      <c r="DS19" s="78" t="str">
        <f t="shared" si="8"/>
        <v>MXN - Tarjetas de Credito a credito</v>
      </c>
      <c r="DT19" s="79">
        <v>0</v>
      </c>
      <c r="DU19" s="79">
        <v>0</v>
      </c>
      <c r="DV19" s="79">
        <v>0</v>
      </c>
      <c r="DW19" s="79">
        <v>0</v>
      </c>
      <c r="DX19" s="79">
        <v>0</v>
      </c>
      <c r="DY19" s="79">
        <v>0</v>
      </c>
      <c r="DZ19" s="79">
        <v>0</v>
      </c>
      <c r="EA19" s="79">
        <v>0</v>
      </c>
      <c r="EB19" s="79">
        <v>0</v>
      </c>
      <c r="EC19" s="79">
        <v>0</v>
      </c>
      <c r="ED19" s="79">
        <v>0</v>
      </c>
      <c r="EE19" s="79">
        <v>0</v>
      </c>
      <c r="EF19" s="66"/>
      <c r="EG19" s="76"/>
      <c r="EH19" s="78" t="str">
        <f t="shared" si="9"/>
        <v>MXN - Tarjetas de Credito a credito</v>
      </c>
      <c r="EI19" s="79">
        <v>0</v>
      </c>
      <c r="EJ19" s="79">
        <v>0</v>
      </c>
      <c r="EK19" s="79">
        <v>0</v>
      </c>
      <c r="EL19" s="79">
        <v>0</v>
      </c>
      <c r="EM19" s="79">
        <v>0</v>
      </c>
      <c r="EN19" s="79">
        <v>0</v>
      </c>
      <c r="EO19" s="79">
        <v>0</v>
      </c>
      <c r="EP19" s="79">
        <v>0</v>
      </c>
      <c r="EQ19" s="79">
        <v>0</v>
      </c>
      <c r="ER19" s="79">
        <v>0</v>
      </c>
      <c r="ES19" s="79">
        <v>0</v>
      </c>
      <c r="ET19" s="79">
        <v>0</v>
      </c>
      <c r="EU19" s="66"/>
      <c r="EV19" s="66"/>
      <c r="EW19" s="66"/>
      <c r="EX19" s="66"/>
      <c r="EY19" s="66"/>
      <c r="EZ19" s="66"/>
      <c r="FA19" s="66"/>
      <c r="FB19" s="66"/>
      <c r="FC19" s="66"/>
      <c r="FD19" s="66"/>
      <c r="FE19" s="66"/>
      <c r="FF19" s="66"/>
      <c r="FG19" s="66"/>
      <c r="FH19" s="66"/>
      <c r="FI19" s="66"/>
      <c r="FJ19" s="76"/>
      <c r="FK19" s="78" t="str">
        <f t="shared" si="10"/>
        <v>MXN - Tarjetas de Credito a credito</v>
      </c>
      <c r="FL19" s="79">
        <v>0</v>
      </c>
      <c r="FM19" s="79">
        <v>0</v>
      </c>
      <c r="FN19" s="79">
        <v>0</v>
      </c>
      <c r="FO19" s="79">
        <v>0</v>
      </c>
      <c r="FP19" s="79">
        <v>0</v>
      </c>
      <c r="FQ19" s="79">
        <v>0</v>
      </c>
      <c r="FR19" s="79">
        <v>0</v>
      </c>
      <c r="FS19" s="79">
        <v>0</v>
      </c>
      <c r="FT19" s="79">
        <v>0</v>
      </c>
      <c r="FU19" s="79">
        <v>0</v>
      </c>
      <c r="FV19" s="79">
        <v>0</v>
      </c>
      <c r="FW19" s="79">
        <v>0</v>
      </c>
      <c r="FX19" s="68"/>
      <c r="FY19" s="76"/>
      <c r="FZ19" s="78" t="str">
        <f t="shared" si="11"/>
        <v>MXN - Tarjetas de Credito a credito</v>
      </c>
      <c r="GA19" s="79" t="s">
        <v>338</v>
      </c>
      <c r="GB19" s="79" t="s">
        <v>338</v>
      </c>
      <c r="GC19" s="79" t="s">
        <v>338</v>
      </c>
      <c r="GD19" s="79" t="s">
        <v>338</v>
      </c>
      <c r="GE19" s="79" t="s">
        <v>338</v>
      </c>
      <c r="GF19" s="79" t="s">
        <v>338</v>
      </c>
      <c r="GG19" s="79" t="s">
        <v>338</v>
      </c>
      <c r="GH19" s="79" t="s">
        <v>338</v>
      </c>
      <c r="GI19" s="79" t="s">
        <v>338</v>
      </c>
      <c r="GJ19" s="79" t="s">
        <v>338</v>
      </c>
      <c r="GK19" s="79" t="s">
        <v>338</v>
      </c>
      <c r="GL19" s="79" t="s">
        <v>338</v>
      </c>
    </row>
    <row r="20" spans="1:194" ht="14.25" customHeight="1" x14ac:dyDescent="0.35">
      <c r="A20" s="65"/>
      <c r="B20" s="75"/>
      <c r="C20" s="76" t="s">
        <v>431</v>
      </c>
      <c r="D20" s="77">
        <v>6702735.858269982</v>
      </c>
      <c r="E20" s="77">
        <v>6702735.858269982</v>
      </c>
      <c r="F20" s="77">
        <v>6702735.858269982</v>
      </c>
      <c r="G20" s="77">
        <v>6702735.858269982</v>
      </c>
      <c r="H20" s="77">
        <v>6702735.858269982</v>
      </c>
      <c r="I20" s="77">
        <v>6702735.858269982</v>
      </c>
      <c r="J20" s="77">
        <v>6702735.858269982</v>
      </c>
      <c r="K20" s="77">
        <v>6702735.858269982</v>
      </c>
      <c r="L20" s="77">
        <v>6702735.858269982</v>
      </c>
      <c r="M20" s="77">
        <v>6702735.858269982</v>
      </c>
      <c r="N20" s="77">
        <v>6702735.858269982</v>
      </c>
      <c r="O20" s="77">
        <v>6702735.858269982</v>
      </c>
      <c r="P20" s="66"/>
      <c r="Q20" s="66"/>
      <c r="R20" s="78" t="str">
        <f t="shared" si="1"/>
        <v>MXN - Hipotecarios Fijo</v>
      </c>
      <c r="S20" s="79">
        <v>0</v>
      </c>
      <c r="T20" s="79">
        <v>0</v>
      </c>
      <c r="U20" s="79">
        <v>0</v>
      </c>
      <c r="V20" s="79">
        <v>0</v>
      </c>
      <c r="W20" s="79">
        <v>0</v>
      </c>
      <c r="X20" s="79">
        <v>0</v>
      </c>
      <c r="Y20" s="79">
        <v>0</v>
      </c>
      <c r="Z20" s="79">
        <v>0</v>
      </c>
      <c r="AA20" s="79">
        <v>0</v>
      </c>
      <c r="AB20" s="79">
        <v>0</v>
      </c>
      <c r="AC20" s="79">
        <v>0</v>
      </c>
      <c r="AD20" s="79">
        <v>0</v>
      </c>
      <c r="AE20" s="66"/>
      <c r="AF20" s="75"/>
      <c r="AG20" s="78" t="str">
        <f t="shared" si="2"/>
        <v>MXN - Hipotecarios Fijo</v>
      </c>
      <c r="AH20" s="80">
        <v>0</v>
      </c>
      <c r="AI20" s="80">
        <v>0</v>
      </c>
      <c r="AJ20" s="80">
        <v>0</v>
      </c>
      <c r="AK20" s="80">
        <v>0</v>
      </c>
      <c r="AL20" s="80">
        <v>0</v>
      </c>
      <c r="AM20" s="80">
        <v>0</v>
      </c>
      <c r="AN20" s="80">
        <v>0</v>
      </c>
      <c r="AO20" s="80">
        <v>0</v>
      </c>
      <c r="AP20" s="80">
        <v>0</v>
      </c>
      <c r="AQ20" s="80">
        <v>0</v>
      </c>
      <c r="AR20" s="80">
        <v>0</v>
      </c>
      <c r="AS20" s="80">
        <v>0</v>
      </c>
      <c r="AT20" s="66"/>
      <c r="AU20" s="76"/>
      <c r="AV20" s="78" t="str">
        <f t="shared" si="3"/>
        <v>MXN - Hipotecarios Fijo</v>
      </c>
      <c r="AW20" s="80">
        <v>0</v>
      </c>
      <c r="AX20" s="80">
        <v>0</v>
      </c>
      <c r="AY20" s="80">
        <v>0</v>
      </c>
      <c r="AZ20" s="80">
        <v>0</v>
      </c>
      <c r="BA20" s="80">
        <v>0</v>
      </c>
      <c r="BB20" s="80">
        <v>0</v>
      </c>
      <c r="BC20" s="80">
        <v>0</v>
      </c>
      <c r="BD20" s="80">
        <v>0</v>
      </c>
      <c r="BE20" s="80">
        <v>0</v>
      </c>
      <c r="BF20" s="80">
        <v>0</v>
      </c>
      <c r="BG20" s="80">
        <v>0</v>
      </c>
      <c r="BH20" s="80">
        <v>0</v>
      </c>
      <c r="BI20" s="66"/>
      <c r="BJ20" s="76"/>
      <c r="BK20" s="78" t="str">
        <f t="shared" si="4"/>
        <v>MXN - Hipotecarios Fijo</v>
      </c>
      <c r="BL20" s="81" t="s">
        <v>384</v>
      </c>
      <c r="BM20" s="81" t="s">
        <v>384</v>
      </c>
      <c r="BN20" s="81" t="s">
        <v>384</v>
      </c>
      <c r="BO20" s="81" t="s">
        <v>384</v>
      </c>
      <c r="BP20" s="81" t="s">
        <v>384</v>
      </c>
      <c r="BQ20" s="81" t="s">
        <v>384</v>
      </c>
      <c r="BR20" s="81" t="s">
        <v>384</v>
      </c>
      <c r="BS20" s="81" t="s">
        <v>384</v>
      </c>
      <c r="BT20" s="81" t="s">
        <v>384</v>
      </c>
      <c r="BU20" s="81" t="s">
        <v>384</v>
      </c>
      <c r="BV20" s="81" t="s">
        <v>384</v>
      </c>
      <c r="BW20" s="81" t="s">
        <v>384</v>
      </c>
      <c r="BX20" s="66"/>
      <c r="BY20" s="76"/>
      <c r="BZ20" s="78" t="str">
        <f t="shared" si="5"/>
        <v>MXN - Hipotecarios Fijo</v>
      </c>
      <c r="CA20" s="79">
        <v>1</v>
      </c>
      <c r="CB20" s="79">
        <v>1</v>
      </c>
      <c r="CC20" s="79">
        <v>1</v>
      </c>
      <c r="CD20" s="79">
        <v>1</v>
      </c>
      <c r="CE20" s="79">
        <v>1</v>
      </c>
      <c r="CF20" s="79">
        <v>1</v>
      </c>
      <c r="CG20" s="79">
        <v>1</v>
      </c>
      <c r="CH20" s="79">
        <v>1</v>
      </c>
      <c r="CI20" s="79">
        <v>1</v>
      </c>
      <c r="CJ20" s="79">
        <v>1</v>
      </c>
      <c r="CK20" s="79">
        <v>1</v>
      </c>
      <c r="CL20" s="79">
        <v>1</v>
      </c>
      <c r="CM20" s="66"/>
      <c r="CN20" s="76"/>
      <c r="CO20" s="78" t="str">
        <f t="shared" si="6"/>
        <v>MXN - Hipotecarios Fijo</v>
      </c>
      <c r="CP20" s="79">
        <v>0</v>
      </c>
      <c r="CQ20" s="79">
        <v>0</v>
      </c>
      <c r="CR20" s="79">
        <v>0</v>
      </c>
      <c r="CS20" s="79">
        <v>0</v>
      </c>
      <c r="CT20" s="79">
        <v>0</v>
      </c>
      <c r="CU20" s="79">
        <v>0</v>
      </c>
      <c r="CV20" s="79">
        <v>0</v>
      </c>
      <c r="CW20" s="79">
        <v>0</v>
      </c>
      <c r="CX20" s="79">
        <v>0</v>
      </c>
      <c r="CY20" s="79">
        <v>0</v>
      </c>
      <c r="CZ20" s="79">
        <v>0</v>
      </c>
      <c r="DA20" s="79">
        <v>0</v>
      </c>
      <c r="DB20" s="66"/>
      <c r="DC20" s="66"/>
      <c r="DD20" s="78" t="str">
        <f t="shared" si="7"/>
        <v>MXN - Hipotecarios Fijo</v>
      </c>
      <c r="DE20" s="79">
        <v>0</v>
      </c>
      <c r="DF20" s="79">
        <v>0</v>
      </c>
      <c r="DG20" s="79">
        <v>0</v>
      </c>
      <c r="DH20" s="79">
        <v>0</v>
      </c>
      <c r="DI20" s="79">
        <v>0</v>
      </c>
      <c r="DJ20" s="79">
        <v>0</v>
      </c>
      <c r="DK20" s="79">
        <v>0</v>
      </c>
      <c r="DL20" s="79">
        <v>0</v>
      </c>
      <c r="DM20" s="79">
        <v>0</v>
      </c>
      <c r="DN20" s="79">
        <v>0</v>
      </c>
      <c r="DO20" s="79">
        <v>0</v>
      </c>
      <c r="DP20" s="79">
        <v>0</v>
      </c>
      <c r="DQ20" s="66"/>
      <c r="DR20" s="76"/>
      <c r="DS20" s="78" t="str">
        <f t="shared" si="8"/>
        <v>MXN - Hipotecarios Fijo</v>
      </c>
      <c r="DT20" s="79">
        <v>0</v>
      </c>
      <c r="DU20" s="79">
        <v>0</v>
      </c>
      <c r="DV20" s="79">
        <v>0</v>
      </c>
      <c r="DW20" s="79">
        <v>0</v>
      </c>
      <c r="DX20" s="79">
        <v>0</v>
      </c>
      <c r="DY20" s="79">
        <v>0</v>
      </c>
      <c r="DZ20" s="79">
        <v>0</v>
      </c>
      <c r="EA20" s="79">
        <v>0</v>
      </c>
      <c r="EB20" s="79">
        <v>0</v>
      </c>
      <c r="EC20" s="79">
        <v>0</v>
      </c>
      <c r="ED20" s="79">
        <v>0</v>
      </c>
      <c r="EE20" s="79">
        <v>0</v>
      </c>
      <c r="EF20" s="66"/>
      <c r="EG20" s="76"/>
      <c r="EH20" s="78" t="str">
        <f t="shared" si="9"/>
        <v>MXN - Hipotecarios Fijo</v>
      </c>
      <c r="EI20" s="79">
        <v>0</v>
      </c>
      <c r="EJ20" s="79">
        <v>0</v>
      </c>
      <c r="EK20" s="79">
        <v>0</v>
      </c>
      <c r="EL20" s="79">
        <v>0</v>
      </c>
      <c r="EM20" s="79">
        <v>0</v>
      </c>
      <c r="EN20" s="79">
        <v>0</v>
      </c>
      <c r="EO20" s="79">
        <v>0</v>
      </c>
      <c r="EP20" s="79">
        <v>0</v>
      </c>
      <c r="EQ20" s="79">
        <v>0</v>
      </c>
      <c r="ER20" s="79">
        <v>0</v>
      </c>
      <c r="ES20" s="79">
        <v>0</v>
      </c>
      <c r="ET20" s="79">
        <v>0</v>
      </c>
      <c r="EU20" s="66"/>
      <c r="EV20" s="66"/>
      <c r="EW20" s="66"/>
      <c r="EX20" s="66"/>
      <c r="EY20" s="66"/>
      <c r="EZ20" s="66"/>
      <c r="FA20" s="66"/>
      <c r="FB20" s="66"/>
      <c r="FC20" s="66"/>
      <c r="FD20" s="66"/>
      <c r="FE20" s="66"/>
      <c r="FF20" s="66"/>
      <c r="FG20" s="66"/>
      <c r="FH20" s="66"/>
      <c r="FI20" s="66"/>
      <c r="FJ20" s="76"/>
      <c r="FK20" s="78" t="str">
        <f t="shared" si="10"/>
        <v>MXN - Hipotecarios Fijo</v>
      </c>
      <c r="FL20" s="79">
        <v>0</v>
      </c>
      <c r="FM20" s="79">
        <v>0</v>
      </c>
      <c r="FN20" s="79">
        <v>0</v>
      </c>
      <c r="FO20" s="79">
        <v>0</v>
      </c>
      <c r="FP20" s="79">
        <v>0</v>
      </c>
      <c r="FQ20" s="79">
        <v>0</v>
      </c>
      <c r="FR20" s="79">
        <v>0</v>
      </c>
      <c r="FS20" s="79">
        <v>0</v>
      </c>
      <c r="FT20" s="79">
        <v>0</v>
      </c>
      <c r="FU20" s="79">
        <v>0</v>
      </c>
      <c r="FV20" s="79">
        <v>0</v>
      </c>
      <c r="FW20" s="79">
        <v>0</v>
      </c>
      <c r="FX20" s="68"/>
      <c r="FY20" s="76"/>
      <c r="FZ20" s="78" t="str">
        <f t="shared" si="11"/>
        <v>MXN - Hipotecarios Fijo</v>
      </c>
      <c r="GA20" s="79" t="s">
        <v>338</v>
      </c>
      <c r="GB20" s="79" t="s">
        <v>338</v>
      </c>
      <c r="GC20" s="79" t="s">
        <v>338</v>
      </c>
      <c r="GD20" s="79" t="s">
        <v>338</v>
      </c>
      <c r="GE20" s="79" t="s">
        <v>338</v>
      </c>
      <c r="GF20" s="79" t="s">
        <v>338</v>
      </c>
      <c r="GG20" s="79" t="s">
        <v>338</v>
      </c>
      <c r="GH20" s="79" t="s">
        <v>338</v>
      </c>
      <c r="GI20" s="79" t="s">
        <v>338</v>
      </c>
      <c r="GJ20" s="79" t="s">
        <v>338</v>
      </c>
      <c r="GK20" s="79" t="s">
        <v>338</v>
      </c>
      <c r="GL20" s="79" t="s">
        <v>338</v>
      </c>
    </row>
    <row r="21" spans="1:194" ht="14.25" customHeight="1" x14ac:dyDescent="0.35">
      <c r="A21" s="65"/>
      <c r="B21" s="75"/>
      <c r="C21" s="76" t="s">
        <v>432</v>
      </c>
      <c r="D21" s="77">
        <v>0</v>
      </c>
      <c r="E21" s="77">
        <v>0</v>
      </c>
      <c r="F21" s="77">
        <v>0</v>
      </c>
      <c r="G21" s="77">
        <v>0</v>
      </c>
      <c r="H21" s="77">
        <v>0</v>
      </c>
      <c r="I21" s="77">
        <v>0</v>
      </c>
      <c r="J21" s="77">
        <v>0</v>
      </c>
      <c r="K21" s="77">
        <v>0</v>
      </c>
      <c r="L21" s="77">
        <v>0</v>
      </c>
      <c r="M21" s="77">
        <v>0</v>
      </c>
      <c r="N21" s="77">
        <v>0</v>
      </c>
      <c r="O21" s="77">
        <v>0</v>
      </c>
      <c r="P21" s="66"/>
      <c r="Q21" s="66"/>
      <c r="R21" s="78" t="str">
        <f t="shared" si="1"/>
        <v>MXN - Hipotecarios Variable</v>
      </c>
      <c r="S21" s="79">
        <v>0</v>
      </c>
      <c r="T21" s="79">
        <v>0</v>
      </c>
      <c r="U21" s="79">
        <v>0</v>
      </c>
      <c r="V21" s="79">
        <v>0</v>
      </c>
      <c r="W21" s="79">
        <v>0</v>
      </c>
      <c r="X21" s="79">
        <v>0</v>
      </c>
      <c r="Y21" s="79">
        <v>0</v>
      </c>
      <c r="Z21" s="79">
        <v>0</v>
      </c>
      <c r="AA21" s="79">
        <v>0</v>
      </c>
      <c r="AB21" s="79">
        <v>0</v>
      </c>
      <c r="AC21" s="79">
        <v>0</v>
      </c>
      <c r="AD21" s="79">
        <v>0</v>
      </c>
      <c r="AE21" s="66"/>
      <c r="AF21" s="75"/>
      <c r="AG21" s="78" t="str">
        <f t="shared" si="2"/>
        <v>MXN - Hipotecarios Variable</v>
      </c>
      <c r="AH21" s="80">
        <v>0</v>
      </c>
      <c r="AI21" s="80">
        <v>0</v>
      </c>
      <c r="AJ21" s="80">
        <v>0</v>
      </c>
      <c r="AK21" s="80">
        <v>0</v>
      </c>
      <c r="AL21" s="80">
        <v>0</v>
      </c>
      <c r="AM21" s="80">
        <v>0</v>
      </c>
      <c r="AN21" s="80">
        <v>0</v>
      </c>
      <c r="AO21" s="80">
        <v>0</v>
      </c>
      <c r="AP21" s="80">
        <v>0</v>
      </c>
      <c r="AQ21" s="80">
        <v>0</v>
      </c>
      <c r="AR21" s="80">
        <v>0</v>
      </c>
      <c r="AS21" s="80">
        <v>0</v>
      </c>
      <c r="AT21" s="66"/>
      <c r="AU21" s="76"/>
      <c r="AV21" s="78" t="str">
        <f t="shared" si="3"/>
        <v>MXN - Hipotecarios Variable</v>
      </c>
      <c r="AW21" s="80">
        <v>0</v>
      </c>
      <c r="AX21" s="80">
        <v>0</v>
      </c>
      <c r="AY21" s="80">
        <v>0</v>
      </c>
      <c r="AZ21" s="80">
        <v>0</v>
      </c>
      <c r="BA21" s="80">
        <v>0</v>
      </c>
      <c r="BB21" s="80">
        <v>0</v>
      </c>
      <c r="BC21" s="80">
        <v>0</v>
      </c>
      <c r="BD21" s="80">
        <v>0</v>
      </c>
      <c r="BE21" s="80">
        <v>0</v>
      </c>
      <c r="BF21" s="80">
        <v>0</v>
      </c>
      <c r="BG21" s="80">
        <v>0</v>
      </c>
      <c r="BH21" s="80">
        <v>0</v>
      </c>
      <c r="BI21" s="66"/>
      <c r="BJ21" s="76"/>
      <c r="BK21" s="78" t="str">
        <f t="shared" si="4"/>
        <v>MXN - Hipotecarios Variable</v>
      </c>
      <c r="BL21" s="81" t="s">
        <v>338</v>
      </c>
      <c r="BM21" s="81" t="s">
        <v>338</v>
      </c>
      <c r="BN21" s="81" t="s">
        <v>338</v>
      </c>
      <c r="BO21" s="81" t="s">
        <v>338</v>
      </c>
      <c r="BP21" s="81" t="s">
        <v>338</v>
      </c>
      <c r="BQ21" s="81" t="s">
        <v>338</v>
      </c>
      <c r="BR21" s="81" t="s">
        <v>338</v>
      </c>
      <c r="BS21" s="81" t="s">
        <v>338</v>
      </c>
      <c r="BT21" s="81" t="s">
        <v>338</v>
      </c>
      <c r="BU21" s="81" t="s">
        <v>338</v>
      </c>
      <c r="BV21" s="81" t="s">
        <v>338</v>
      </c>
      <c r="BW21" s="81" t="s">
        <v>338</v>
      </c>
      <c r="BX21" s="66"/>
      <c r="BY21" s="76"/>
      <c r="BZ21" s="78" t="str">
        <f t="shared" si="5"/>
        <v>MXN - Hipotecarios Variable</v>
      </c>
      <c r="CA21" s="79">
        <v>1</v>
      </c>
      <c r="CB21" s="79">
        <v>1</v>
      </c>
      <c r="CC21" s="79">
        <v>1</v>
      </c>
      <c r="CD21" s="79">
        <v>1</v>
      </c>
      <c r="CE21" s="79">
        <v>1</v>
      </c>
      <c r="CF21" s="79">
        <v>1</v>
      </c>
      <c r="CG21" s="79">
        <v>1</v>
      </c>
      <c r="CH21" s="79">
        <v>1</v>
      </c>
      <c r="CI21" s="79">
        <v>1</v>
      </c>
      <c r="CJ21" s="79">
        <v>1</v>
      </c>
      <c r="CK21" s="79">
        <v>1</v>
      </c>
      <c r="CL21" s="79">
        <v>1</v>
      </c>
      <c r="CM21" s="66"/>
      <c r="CN21" s="76"/>
      <c r="CO21" s="78" t="str">
        <f t="shared" si="6"/>
        <v>MXN - Hipotecarios Variable</v>
      </c>
      <c r="CP21" s="79">
        <v>0</v>
      </c>
      <c r="CQ21" s="79">
        <v>0</v>
      </c>
      <c r="CR21" s="79">
        <v>0</v>
      </c>
      <c r="CS21" s="79">
        <v>0</v>
      </c>
      <c r="CT21" s="79">
        <v>0</v>
      </c>
      <c r="CU21" s="79">
        <v>0</v>
      </c>
      <c r="CV21" s="79">
        <v>0</v>
      </c>
      <c r="CW21" s="79">
        <v>0</v>
      </c>
      <c r="CX21" s="79">
        <v>0</v>
      </c>
      <c r="CY21" s="79">
        <v>0</v>
      </c>
      <c r="CZ21" s="79">
        <v>0</v>
      </c>
      <c r="DA21" s="79">
        <v>0</v>
      </c>
      <c r="DB21" s="66"/>
      <c r="DC21" s="66"/>
      <c r="DD21" s="78" t="str">
        <f t="shared" si="7"/>
        <v>MXN - Hipotecarios Variable</v>
      </c>
      <c r="DE21" s="79">
        <v>0</v>
      </c>
      <c r="DF21" s="79">
        <v>0</v>
      </c>
      <c r="DG21" s="79">
        <v>0</v>
      </c>
      <c r="DH21" s="79">
        <v>0</v>
      </c>
      <c r="DI21" s="79">
        <v>0</v>
      </c>
      <c r="DJ21" s="79">
        <v>0</v>
      </c>
      <c r="DK21" s="79">
        <v>0</v>
      </c>
      <c r="DL21" s="79">
        <v>0</v>
      </c>
      <c r="DM21" s="79">
        <v>0</v>
      </c>
      <c r="DN21" s="79">
        <v>0</v>
      </c>
      <c r="DO21" s="79">
        <v>0</v>
      </c>
      <c r="DP21" s="79">
        <v>0</v>
      </c>
      <c r="DQ21" s="66"/>
      <c r="DR21" s="76"/>
      <c r="DS21" s="78" t="str">
        <f t="shared" si="8"/>
        <v>MXN - Hipotecarios Variable</v>
      </c>
      <c r="DT21" s="79">
        <v>0</v>
      </c>
      <c r="DU21" s="79">
        <v>0</v>
      </c>
      <c r="DV21" s="79">
        <v>0</v>
      </c>
      <c r="DW21" s="79">
        <v>0</v>
      </c>
      <c r="DX21" s="79">
        <v>0</v>
      </c>
      <c r="DY21" s="79">
        <v>0</v>
      </c>
      <c r="DZ21" s="79">
        <v>0</v>
      </c>
      <c r="EA21" s="79">
        <v>0</v>
      </c>
      <c r="EB21" s="79">
        <v>0</v>
      </c>
      <c r="EC21" s="79">
        <v>0</v>
      </c>
      <c r="ED21" s="79">
        <v>0</v>
      </c>
      <c r="EE21" s="79">
        <v>0</v>
      </c>
      <c r="EF21" s="66"/>
      <c r="EG21" s="76"/>
      <c r="EH21" s="78" t="str">
        <f t="shared" si="9"/>
        <v>MXN - Hipotecarios Variable</v>
      </c>
      <c r="EI21" s="79">
        <v>0</v>
      </c>
      <c r="EJ21" s="79">
        <v>0</v>
      </c>
      <c r="EK21" s="79">
        <v>0</v>
      </c>
      <c r="EL21" s="79">
        <v>0</v>
      </c>
      <c r="EM21" s="79">
        <v>0</v>
      </c>
      <c r="EN21" s="79">
        <v>0</v>
      </c>
      <c r="EO21" s="79">
        <v>0</v>
      </c>
      <c r="EP21" s="79">
        <v>0</v>
      </c>
      <c r="EQ21" s="79">
        <v>0</v>
      </c>
      <c r="ER21" s="79">
        <v>0</v>
      </c>
      <c r="ES21" s="79">
        <v>0</v>
      </c>
      <c r="ET21" s="79">
        <v>0</v>
      </c>
      <c r="EU21" s="66"/>
      <c r="EV21" s="66"/>
      <c r="EW21" s="66"/>
      <c r="EX21" s="66"/>
      <c r="EY21" s="66"/>
      <c r="EZ21" s="66"/>
      <c r="FA21" s="66"/>
      <c r="FB21" s="66"/>
      <c r="FC21" s="66"/>
      <c r="FD21" s="66"/>
      <c r="FE21" s="66"/>
      <c r="FF21" s="66"/>
      <c r="FG21" s="66"/>
      <c r="FH21" s="66"/>
      <c r="FI21" s="66"/>
      <c r="FJ21" s="76"/>
      <c r="FK21" s="78" t="str">
        <f t="shared" si="10"/>
        <v>MXN - Hipotecarios Variable</v>
      </c>
      <c r="FL21" s="79">
        <v>0</v>
      </c>
      <c r="FM21" s="79">
        <v>0</v>
      </c>
      <c r="FN21" s="79">
        <v>0</v>
      </c>
      <c r="FO21" s="79">
        <v>0</v>
      </c>
      <c r="FP21" s="79">
        <v>0</v>
      </c>
      <c r="FQ21" s="79">
        <v>0</v>
      </c>
      <c r="FR21" s="79">
        <v>0</v>
      </c>
      <c r="FS21" s="79">
        <v>0</v>
      </c>
      <c r="FT21" s="79">
        <v>0</v>
      </c>
      <c r="FU21" s="79">
        <v>0</v>
      </c>
      <c r="FV21" s="79">
        <v>0</v>
      </c>
      <c r="FW21" s="79">
        <v>0</v>
      </c>
      <c r="FX21" s="68"/>
      <c r="FY21" s="76"/>
      <c r="FZ21" s="78" t="str">
        <f t="shared" si="11"/>
        <v>MXN - Hipotecarios Variable</v>
      </c>
      <c r="GA21" s="79" t="s">
        <v>338</v>
      </c>
      <c r="GB21" s="79" t="s">
        <v>338</v>
      </c>
      <c r="GC21" s="79" t="s">
        <v>338</v>
      </c>
      <c r="GD21" s="79" t="s">
        <v>338</v>
      </c>
      <c r="GE21" s="79" t="s">
        <v>338</v>
      </c>
      <c r="GF21" s="79" t="s">
        <v>338</v>
      </c>
      <c r="GG21" s="79" t="s">
        <v>338</v>
      </c>
      <c r="GH21" s="79" t="s">
        <v>338</v>
      </c>
      <c r="GI21" s="79" t="s">
        <v>338</v>
      </c>
      <c r="GJ21" s="79" t="s">
        <v>338</v>
      </c>
      <c r="GK21" s="79" t="s">
        <v>338</v>
      </c>
      <c r="GL21" s="79" t="s">
        <v>338</v>
      </c>
    </row>
    <row r="22" spans="1:194" ht="14.25" customHeight="1" x14ac:dyDescent="0.35">
      <c r="A22" s="65"/>
      <c r="B22" s="75"/>
      <c r="C22" s="76" t="s">
        <v>433</v>
      </c>
      <c r="D22" s="77">
        <v>-160573365.83839998</v>
      </c>
      <c r="E22" s="77">
        <v>39426634.161600031</v>
      </c>
      <c r="F22" s="77">
        <v>39426634.161600031</v>
      </c>
      <c r="G22" s="77">
        <v>39426634.161600031</v>
      </c>
      <c r="H22" s="77">
        <v>39426634.161600031</v>
      </c>
      <c r="I22" s="77">
        <v>39426634.161600031</v>
      </c>
      <c r="J22" s="77">
        <v>39426634.161600031</v>
      </c>
      <c r="K22" s="77">
        <v>39426634.161600031</v>
      </c>
      <c r="L22" s="77">
        <v>39426634.161600031</v>
      </c>
      <c r="M22" s="77">
        <v>39426634.161600031</v>
      </c>
      <c r="N22" s="77">
        <v>39426634.161600031</v>
      </c>
      <c r="O22" s="77">
        <v>39426634.161600031</v>
      </c>
      <c r="P22" s="66"/>
      <c r="Q22" s="66"/>
      <c r="R22" s="78" t="str">
        <f t="shared" si="1"/>
        <v>MXN - Cartera empresas</v>
      </c>
      <c r="S22" s="79">
        <v>0</v>
      </c>
      <c r="T22" s="79">
        <v>0</v>
      </c>
      <c r="U22" s="79">
        <v>0</v>
      </c>
      <c r="V22" s="79">
        <v>0</v>
      </c>
      <c r="W22" s="79">
        <v>0</v>
      </c>
      <c r="X22" s="79">
        <v>0</v>
      </c>
      <c r="Y22" s="79">
        <v>0</v>
      </c>
      <c r="Z22" s="79">
        <v>0</v>
      </c>
      <c r="AA22" s="79">
        <v>0</v>
      </c>
      <c r="AB22" s="79">
        <v>0</v>
      </c>
      <c r="AC22" s="79">
        <v>0</v>
      </c>
      <c r="AD22" s="79">
        <v>0</v>
      </c>
      <c r="AE22" s="66"/>
      <c r="AF22" s="75"/>
      <c r="AG22" s="78" t="str">
        <f t="shared" si="2"/>
        <v>MXN - Cartera empresas</v>
      </c>
      <c r="AH22" s="80">
        <v>0.15</v>
      </c>
      <c r="AI22" s="80">
        <v>0.15</v>
      </c>
      <c r="AJ22" s="80">
        <v>0.15</v>
      </c>
      <c r="AK22" s="80">
        <v>0.15</v>
      </c>
      <c r="AL22" s="80">
        <v>0.15</v>
      </c>
      <c r="AM22" s="80">
        <v>0.15</v>
      </c>
      <c r="AN22" s="80">
        <v>0.15</v>
      </c>
      <c r="AO22" s="80">
        <v>0.15</v>
      </c>
      <c r="AP22" s="80">
        <v>0.15</v>
      </c>
      <c r="AQ22" s="80">
        <v>0.15</v>
      </c>
      <c r="AR22" s="80">
        <v>0.15</v>
      </c>
      <c r="AS22" s="80">
        <v>0.15</v>
      </c>
      <c r="AT22" s="66"/>
      <c r="AU22" s="76"/>
      <c r="AV22" s="78" t="str">
        <f t="shared" si="3"/>
        <v>MXN - Cartera empresas</v>
      </c>
      <c r="AW22" s="80">
        <v>0</v>
      </c>
      <c r="AX22" s="80">
        <v>0</v>
      </c>
      <c r="AY22" s="80">
        <v>0</v>
      </c>
      <c r="AZ22" s="80">
        <v>0</v>
      </c>
      <c r="BA22" s="80">
        <v>0</v>
      </c>
      <c r="BB22" s="80">
        <v>0</v>
      </c>
      <c r="BC22" s="80">
        <v>0</v>
      </c>
      <c r="BD22" s="80">
        <v>0</v>
      </c>
      <c r="BE22" s="80">
        <v>0</v>
      </c>
      <c r="BF22" s="80">
        <v>0</v>
      </c>
      <c r="BG22" s="80">
        <v>0</v>
      </c>
      <c r="BH22" s="80">
        <v>0</v>
      </c>
      <c r="BI22" s="66"/>
      <c r="BJ22" s="76"/>
      <c r="BK22" s="78" t="str">
        <f t="shared" si="4"/>
        <v>MXN - Cartera empresas</v>
      </c>
      <c r="BL22" s="81" t="s">
        <v>338</v>
      </c>
      <c r="BM22" s="81" t="s">
        <v>338</v>
      </c>
      <c r="BN22" s="81" t="s">
        <v>338</v>
      </c>
      <c r="BO22" s="81" t="s">
        <v>338</v>
      </c>
      <c r="BP22" s="81" t="s">
        <v>338</v>
      </c>
      <c r="BQ22" s="81" t="s">
        <v>338</v>
      </c>
      <c r="BR22" s="81" t="s">
        <v>338</v>
      </c>
      <c r="BS22" s="81" t="s">
        <v>338</v>
      </c>
      <c r="BT22" s="81" t="s">
        <v>338</v>
      </c>
      <c r="BU22" s="81" t="s">
        <v>338</v>
      </c>
      <c r="BV22" s="81" t="s">
        <v>338</v>
      </c>
      <c r="BW22" s="81" t="s">
        <v>338</v>
      </c>
      <c r="BX22" s="66"/>
      <c r="BY22" s="76"/>
      <c r="BZ22" s="78" t="str">
        <f t="shared" si="5"/>
        <v>MXN - Cartera empresas</v>
      </c>
      <c r="CA22" s="79">
        <v>1</v>
      </c>
      <c r="CB22" s="79">
        <v>1</v>
      </c>
      <c r="CC22" s="79">
        <v>1</v>
      </c>
      <c r="CD22" s="79">
        <v>1</v>
      </c>
      <c r="CE22" s="79">
        <v>1</v>
      </c>
      <c r="CF22" s="79">
        <v>1</v>
      </c>
      <c r="CG22" s="79">
        <v>1</v>
      </c>
      <c r="CH22" s="79">
        <v>1</v>
      </c>
      <c r="CI22" s="79">
        <v>1</v>
      </c>
      <c r="CJ22" s="79">
        <v>1</v>
      </c>
      <c r="CK22" s="79">
        <v>1</v>
      </c>
      <c r="CL22" s="79">
        <v>1</v>
      </c>
      <c r="CM22" s="66"/>
      <c r="CN22" s="76"/>
      <c r="CO22" s="78" t="str">
        <f t="shared" si="6"/>
        <v>MXN - Cartera empresas</v>
      </c>
      <c r="CP22" s="79">
        <v>0</v>
      </c>
      <c r="CQ22" s="79">
        <v>0</v>
      </c>
      <c r="CR22" s="79">
        <v>0</v>
      </c>
      <c r="CS22" s="79">
        <v>0</v>
      </c>
      <c r="CT22" s="79">
        <v>0</v>
      </c>
      <c r="CU22" s="79">
        <v>0</v>
      </c>
      <c r="CV22" s="79">
        <v>0</v>
      </c>
      <c r="CW22" s="79">
        <v>0</v>
      </c>
      <c r="CX22" s="79">
        <v>0</v>
      </c>
      <c r="CY22" s="79">
        <v>0</v>
      </c>
      <c r="CZ22" s="79">
        <v>0</v>
      </c>
      <c r="DA22" s="79">
        <v>0</v>
      </c>
      <c r="DB22" s="66"/>
      <c r="DC22" s="66"/>
      <c r="DD22" s="78" t="str">
        <f t="shared" si="7"/>
        <v>MXN - Cartera empresas</v>
      </c>
      <c r="DE22" s="79">
        <v>0</v>
      </c>
      <c r="DF22" s="79">
        <v>0</v>
      </c>
      <c r="DG22" s="79">
        <v>0</v>
      </c>
      <c r="DH22" s="79">
        <v>0</v>
      </c>
      <c r="DI22" s="79">
        <v>0</v>
      </c>
      <c r="DJ22" s="79">
        <v>0</v>
      </c>
      <c r="DK22" s="79">
        <v>0</v>
      </c>
      <c r="DL22" s="79">
        <v>0</v>
      </c>
      <c r="DM22" s="79">
        <v>0</v>
      </c>
      <c r="DN22" s="79">
        <v>0</v>
      </c>
      <c r="DO22" s="79">
        <v>0</v>
      </c>
      <c r="DP22" s="79">
        <v>0</v>
      </c>
      <c r="DQ22" s="66"/>
      <c r="DR22" s="76"/>
      <c r="DS22" s="78" t="str">
        <f t="shared" si="8"/>
        <v>MXN - Cartera empresas</v>
      </c>
      <c r="DT22" s="79">
        <v>0</v>
      </c>
      <c r="DU22" s="79">
        <v>0</v>
      </c>
      <c r="DV22" s="79">
        <v>0</v>
      </c>
      <c r="DW22" s="79">
        <v>0</v>
      </c>
      <c r="DX22" s="79">
        <v>0</v>
      </c>
      <c r="DY22" s="79">
        <v>0</v>
      </c>
      <c r="DZ22" s="79">
        <v>0</v>
      </c>
      <c r="EA22" s="79">
        <v>0</v>
      </c>
      <c r="EB22" s="79">
        <v>0</v>
      </c>
      <c r="EC22" s="79">
        <v>0</v>
      </c>
      <c r="ED22" s="79">
        <v>0</v>
      </c>
      <c r="EE22" s="79">
        <v>0</v>
      </c>
      <c r="EF22" s="66"/>
      <c r="EG22" s="76"/>
      <c r="EH22" s="78" t="str">
        <f t="shared" si="9"/>
        <v>MXN - Cartera empresas</v>
      </c>
      <c r="EI22" s="79">
        <v>0</v>
      </c>
      <c r="EJ22" s="79">
        <v>0</v>
      </c>
      <c r="EK22" s="79">
        <v>0</v>
      </c>
      <c r="EL22" s="79">
        <v>0</v>
      </c>
      <c r="EM22" s="79">
        <v>0</v>
      </c>
      <c r="EN22" s="79">
        <v>0</v>
      </c>
      <c r="EO22" s="79">
        <v>0</v>
      </c>
      <c r="EP22" s="79">
        <v>0</v>
      </c>
      <c r="EQ22" s="79">
        <v>0</v>
      </c>
      <c r="ER22" s="79">
        <v>0</v>
      </c>
      <c r="ES22" s="79">
        <v>0</v>
      </c>
      <c r="ET22" s="79">
        <v>0</v>
      </c>
      <c r="EU22" s="66"/>
      <c r="EV22" s="66"/>
      <c r="EW22" s="66"/>
      <c r="EX22" s="66"/>
      <c r="EY22" s="66"/>
      <c r="EZ22" s="66"/>
      <c r="FA22" s="66"/>
      <c r="FB22" s="66"/>
      <c r="FC22" s="66"/>
      <c r="FD22" s="66"/>
      <c r="FE22" s="66"/>
      <c r="FF22" s="66"/>
      <c r="FG22" s="66"/>
      <c r="FH22" s="66"/>
      <c r="FI22" s="66"/>
      <c r="FJ22" s="76"/>
      <c r="FK22" s="78" t="str">
        <f t="shared" si="10"/>
        <v>MXN - Cartera empresas</v>
      </c>
      <c r="FL22" s="79">
        <v>0</v>
      </c>
      <c r="FM22" s="79">
        <v>0</v>
      </c>
      <c r="FN22" s="79">
        <v>0</v>
      </c>
      <c r="FO22" s="79">
        <v>0</v>
      </c>
      <c r="FP22" s="79">
        <v>0</v>
      </c>
      <c r="FQ22" s="79">
        <v>0</v>
      </c>
      <c r="FR22" s="79">
        <v>0</v>
      </c>
      <c r="FS22" s="79">
        <v>0</v>
      </c>
      <c r="FT22" s="79">
        <v>0</v>
      </c>
      <c r="FU22" s="79">
        <v>0</v>
      </c>
      <c r="FV22" s="79">
        <v>0</v>
      </c>
      <c r="FW22" s="79">
        <v>0</v>
      </c>
      <c r="FX22" s="68"/>
      <c r="FY22" s="76"/>
      <c r="FZ22" s="78" t="str">
        <f t="shared" si="11"/>
        <v>MXN - Cartera empresas</v>
      </c>
      <c r="GA22" s="79" t="s">
        <v>338</v>
      </c>
      <c r="GB22" s="79" t="s">
        <v>338</v>
      </c>
      <c r="GC22" s="79" t="s">
        <v>338</v>
      </c>
      <c r="GD22" s="79" t="s">
        <v>338</v>
      </c>
      <c r="GE22" s="79" t="s">
        <v>338</v>
      </c>
      <c r="GF22" s="79" t="s">
        <v>338</v>
      </c>
      <c r="GG22" s="79" t="s">
        <v>338</v>
      </c>
      <c r="GH22" s="79" t="s">
        <v>338</v>
      </c>
      <c r="GI22" s="79" t="s">
        <v>338</v>
      </c>
      <c r="GJ22" s="79" t="s">
        <v>338</v>
      </c>
      <c r="GK22" s="79" t="s">
        <v>338</v>
      </c>
      <c r="GL22" s="79" t="s">
        <v>338</v>
      </c>
    </row>
    <row r="23" spans="1:194" ht="14.25" customHeight="1" x14ac:dyDescent="0.35">
      <c r="A23" s="65"/>
      <c r="B23" s="75"/>
      <c r="C23" s="76" t="s">
        <v>434</v>
      </c>
      <c r="D23" s="77">
        <v>6843348.5985700097</v>
      </c>
      <c r="E23" s="77">
        <v>6843348.5985700097</v>
      </c>
      <c r="F23" s="77">
        <v>6843348.5985700097</v>
      </c>
      <c r="G23" s="77">
        <v>6843348.5985700097</v>
      </c>
      <c r="H23" s="77">
        <v>6843348.5985700097</v>
      </c>
      <c r="I23" s="77">
        <v>6843348.5985700097</v>
      </c>
      <c r="J23" s="77">
        <v>6843348.5985700097</v>
      </c>
      <c r="K23" s="77">
        <v>6843348.5985700097</v>
      </c>
      <c r="L23" s="77">
        <v>6843348.5985700097</v>
      </c>
      <c r="M23" s="77">
        <v>6843348.5985700097</v>
      </c>
      <c r="N23" s="77">
        <v>6843348.5985700097</v>
      </c>
      <c r="O23" s="77">
        <v>6843348.5985700097</v>
      </c>
      <c r="P23" s="66"/>
      <c r="Q23" s="66"/>
      <c r="R23" s="78" t="str">
        <f t="shared" si="1"/>
        <v>MXN - Garantias reales empresas</v>
      </c>
      <c r="S23" s="79">
        <v>0</v>
      </c>
      <c r="T23" s="79">
        <v>0</v>
      </c>
      <c r="U23" s="79">
        <v>0</v>
      </c>
      <c r="V23" s="79">
        <v>0</v>
      </c>
      <c r="W23" s="79">
        <v>0</v>
      </c>
      <c r="X23" s="79">
        <v>0</v>
      </c>
      <c r="Y23" s="79">
        <v>0</v>
      </c>
      <c r="Z23" s="79">
        <v>0</v>
      </c>
      <c r="AA23" s="79">
        <v>0</v>
      </c>
      <c r="AB23" s="79">
        <v>0</v>
      </c>
      <c r="AC23" s="79">
        <v>0</v>
      </c>
      <c r="AD23" s="79">
        <v>0</v>
      </c>
      <c r="AE23" s="66"/>
      <c r="AF23" s="75"/>
      <c r="AG23" s="78" t="str">
        <f t="shared" si="2"/>
        <v>MXN - Garantias reales empresas</v>
      </c>
      <c r="AH23" s="80">
        <v>0</v>
      </c>
      <c r="AI23" s="80">
        <v>0</v>
      </c>
      <c r="AJ23" s="80">
        <v>0</v>
      </c>
      <c r="AK23" s="80">
        <v>0</v>
      </c>
      <c r="AL23" s="80">
        <v>0</v>
      </c>
      <c r="AM23" s="80">
        <v>0</v>
      </c>
      <c r="AN23" s="80">
        <v>0</v>
      </c>
      <c r="AO23" s="80">
        <v>0</v>
      </c>
      <c r="AP23" s="80">
        <v>0</v>
      </c>
      <c r="AQ23" s="80">
        <v>0</v>
      </c>
      <c r="AR23" s="80">
        <v>0</v>
      </c>
      <c r="AS23" s="80">
        <v>0</v>
      </c>
      <c r="AT23" s="66"/>
      <c r="AU23" s="76"/>
      <c r="AV23" s="78" t="str">
        <f t="shared" si="3"/>
        <v>MXN - Garantias reales empresas</v>
      </c>
      <c r="AW23" s="80">
        <v>0</v>
      </c>
      <c r="AX23" s="80">
        <v>0</v>
      </c>
      <c r="AY23" s="80">
        <v>0</v>
      </c>
      <c r="AZ23" s="80">
        <v>0</v>
      </c>
      <c r="BA23" s="80">
        <v>0</v>
      </c>
      <c r="BB23" s="80">
        <v>0</v>
      </c>
      <c r="BC23" s="80">
        <v>0</v>
      </c>
      <c r="BD23" s="80">
        <v>0</v>
      </c>
      <c r="BE23" s="80">
        <v>0</v>
      </c>
      <c r="BF23" s="80">
        <v>0</v>
      </c>
      <c r="BG23" s="80">
        <v>0</v>
      </c>
      <c r="BH23" s="80">
        <v>0</v>
      </c>
      <c r="BI23" s="66"/>
      <c r="BJ23" s="76"/>
      <c r="BK23" s="78" t="str">
        <f t="shared" si="4"/>
        <v>MXN - Garantias reales empresas</v>
      </c>
      <c r="BL23" s="81" t="s">
        <v>338</v>
      </c>
      <c r="BM23" s="81" t="s">
        <v>338</v>
      </c>
      <c r="BN23" s="81" t="s">
        <v>338</v>
      </c>
      <c r="BO23" s="81" t="s">
        <v>338</v>
      </c>
      <c r="BP23" s="81" t="s">
        <v>338</v>
      </c>
      <c r="BQ23" s="81" t="s">
        <v>338</v>
      </c>
      <c r="BR23" s="81" t="s">
        <v>338</v>
      </c>
      <c r="BS23" s="81" t="s">
        <v>338</v>
      </c>
      <c r="BT23" s="81" t="s">
        <v>338</v>
      </c>
      <c r="BU23" s="81" t="s">
        <v>338</v>
      </c>
      <c r="BV23" s="81" t="s">
        <v>338</v>
      </c>
      <c r="BW23" s="81" t="s">
        <v>338</v>
      </c>
      <c r="BX23" s="66"/>
      <c r="BY23" s="76"/>
      <c r="BZ23" s="78" t="str">
        <f t="shared" si="5"/>
        <v>MXN - Garantias reales empresas</v>
      </c>
      <c r="CA23" s="79">
        <v>1</v>
      </c>
      <c r="CB23" s="79">
        <v>1</v>
      </c>
      <c r="CC23" s="79">
        <v>1</v>
      </c>
      <c r="CD23" s="79">
        <v>1</v>
      </c>
      <c r="CE23" s="79">
        <v>1</v>
      </c>
      <c r="CF23" s="79">
        <v>1</v>
      </c>
      <c r="CG23" s="79">
        <v>1</v>
      </c>
      <c r="CH23" s="79">
        <v>1</v>
      </c>
      <c r="CI23" s="79">
        <v>1</v>
      </c>
      <c r="CJ23" s="79">
        <v>1</v>
      </c>
      <c r="CK23" s="79">
        <v>1</v>
      </c>
      <c r="CL23" s="79">
        <v>1</v>
      </c>
      <c r="CM23" s="66"/>
      <c r="CN23" s="76"/>
      <c r="CO23" s="78" t="str">
        <f t="shared" si="6"/>
        <v>MXN - Garantias reales empresas</v>
      </c>
      <c r="CP23" s="79">
        <v>0</v>
      </c>
      <c r="CQ23" s="79">
        <v>0</v>
      </c>
      <c r="CR23" s="79">
        <v>0</v>
      </c>
      <c r="CS23" s="79">
        <v>0</v>
      </c>
      <c r="CT23" s="79">
        <v>0</v>
      </c>
      <c r="CU23" s="79">
        <v>0</v>
      </c>
      <c r="CV23" s="79">
        <v>0</v>
      </c>
      <c r="CW23" s="79">
        <v>0</v>
      </c>
      <c r="CX23" s="79">
        <v>0</v>
      </c>
      <c r="CY23" s="79">
        <v>0</v>
      </c>
      <c r="CZ23" s="79">
        <v>0</v>
      </c>
      <c r="DA23" s="79">
        <v>0</v>
      </c>
      <c r="DB23" s="66"/>
      <c r="DC23" s="66"/>
      <c r="DD23" s="78" t="str">
        <f t="shared" si="7"/>
        <v>MXN - Garantias reales empresas</v>
      </c>
      <c r="DE23" s="79">
        <v>0</v>
      </c>
      <c r="DF23" s="79">
        <v>0</v>
      </c>
      <c r="DG23" s="79">
        <v>0</v>
      </c>
      <c r="DH23" s="79">
        <v>0</v>
      </c>
      <c r="DI23" s="79">
        <v>0</v>
      </c>
      <c r="DJ23" s="79">
        <v>0</v>
      </c>
      <c r="DK23" s="79">
        <v>0</v>
      </c>
      <c r="DL23" s="79">
        <v>0</v>
      </c>
      <c r="DM23" s="79">
        <v>0</v>
      </c>
      <c r="DN23" s="79">
        <v>0</v>
      </c>
      <c r="DO23" s="79">
        <v>0</v>
      </c>
      <c r="DP23" s="79">
        <v>0</v>
      </c>
      <c r="DQ23" s="66"/>
      <c r="DR23" s="76"/>
      <c r="DS23" s="78" t="str">
        <f t="shared" si="8"/>
        <v>MXN - Garantias reales empresas</v>
      </c>
      <c r="DT23" s="79">
        <v>0</v>
      </c>
      <c r="DU23" s="79">
        <v>0</v>
      </c>
      <c r="DV23" s="79">
        <v>0</v>
      </c>
      <c r="DW23" s="79">
        <v>0</v>
      </c>
      <c r="DX23" s="79">
        <v>0</v>
      </c>
      <c r="DY23" s="79">
        <v>0</v>
      </c>
      <c r="DZ23" s="79">
        <v>0</v>
      </c>
      <c r="EA23" s="79">
        <v>0</v>
      </c>
      <c r="EB23" s="79">
        <v>0</v>
      </c>
      <c r="EC23" s="79">
        <v>0</v>
      </c>
      <c r="ED23" s="79">
        <v>0</v>
      </c>
      <c r="EE23" s="79">
        <v>0</v>
      </c>
      <c r="EF23" s="66"/>
      <c r="EG23" s="76"/>
      <c r="EH23" s="78" t="str">
        <f t="shared" si="9"/>
        <v>MXN - Garantias reales empresas</v>
      </c>
      <c r="EI23" s="79">
        <v>0</v>
      </c>
      <c r="EJ23" s="79">
        <v>0</v>
      </c>
      <c r="EK23" s="79">
        <v>0</v>
      </c>
      <c r="EL23" s="79">
        <v>0</v>
      </c>
      <c r="EM23" s="79">
        <v>0</v>
      </c>
      <c r="EN23" s="79">
        <v>0</v>
      </c>
      <c r="EO23" s="79">
        <v>0</v>
      </c>
      <c r="EP23" s="79">
        <v>0</v>
      </c>
      <c r="EQ23" s="79">
        <v>0</v>
      </c>
      <c r="ER23" s="79">
        <v>0</v>
      </c>
      <c r="ES23" s="79">
        <v>0</v>
      </c>
      <c r="ET23" s="79">
        <v>0</v>
      </c>
      <c r="EU23" s="66"/>
      <c r="EV23" s="66"/>
      <c r="EW23" s="66"/>
      <c r="EX23" s="66"/>
      <c r="EY23" s="66"/>
      <c r="EZ23" s="66"/>
      <c r="FA23" s="66"/>
      <c r="FB23" s="66"/>
      <c r="FC23" s="66"/>
      <c r="FD23" s="66"/>
      <c r="FE23" s="66"/>
      <c r="FF23" s="66"/>
      <c r="FG23" s="66"/>
      <c r="FH23" s="66"/>
      <c r="FI23" s="66"/>
      <c r="FJ23" s="76"/>
      <c r="FK23" s="78" t="str">
        <f t="shared" si="10"/>
        <v>MXN - Garantias reales empresas</v>
      </c>
      <c r="FL23" s="79">
        <v>0</v>
      </c>
      <c r="FM23" s="79">
        <v>0</v>
      </c>
      <c r="FN23" s="79">
        <v>0</v>
      </c>
      <c r="FO23" s="79">
        <v>0</v>
      </c>
      <c r="FP23" s="79">
        <v>0</v>
      </c>
      <c r="FQ23" s="79">
        <v>0</v>
      </c>
      <c r="FR23" s="79">
        <v>0</v>
      </c>
      <c r="FS23" s="79">
        <v>0</v>
      </c>
      <c r="FT23" s="79">
        <v>0</v>
      </c>
      <c r="FU23" s="79">
        <v>0</v>
      </c>
      <c r="FV23" s="79">
        <v>0</v>
      </c>
      <c r="FW23" s="79">
        <v>0</v>
      </c>
      <c r="FX23" s="68"/>
      <c r="FY23" s="76"/>
      <c r="FZ23" s="78" t="str">
        <f t="shared" si="11"/>
        <v>MXN - Garantias reales empresas</v>
      </c>
      <c r="GA23" s="79" t="s">
        <v>338</v>
      </c>
      <c r="GB23" s="79" t="s">
        <v>338</v>
      </c>
      <c r="GC23" s="79" t="s">
        <v>338</v>
      </c>
      <c r="GD23" s="79" t="s">
        <v>338</v>
      </c>
      <c r="GE23" s="79" t="s">
        <v>338</v>
      </c>
      <c r="GF23" s="79" t="s">
        <v>338</v>
      </c>
      <c r="GG23" s="79" t="s">
        <v>338</v>
      </c>
      <c r="GH23" s="79" t="s">
        <v>338</v>
      </c>
      <c r="GI23" s="79" t="s">
        <v>338</v>
      </c>
      <c r="GJ23" s="79" t="s">
        <v>338</v>
      </c>
      <c r="GK23" s="79" t="s">
        <v>338</v>
      </c>
      <c r="GL23" s="79" t="s">
        <v>338</v>
      </c>
    </row>
    <row r="24" spans="1:194" ht="14.25" customHeight="1" x14ac:dyDescent="0.35">
      <c r="A24" s="65"/>
      <c r="B24" s="75"/>
      <c r="C24" s="76" t="s">
        <v>435</v>
      </c>
      <c r="D24" s="77">
        <v>-358116190.01394999</v>
      </c>
      <c r="E24" s="77">
        <v>71883809.986049995</v>
      </c>
      <c r="F24" s="77">
        <v>71883809.986049995</v>
      </c>
      <c r="G24" s="77">
        <v>71883809.986049995</v>
      </c>
      <c r="H24" s="77">
        <v>71883809.986049995</v>
      </c>
      <c r="I24" s="77">
        <v>71883809.986049995</v>
      </c>
      <c r="J24" s="77">
        <v>71883809.986049995</v>
      </c>
      <c r="K24" s="77">
        <v>71883809.986049995</v>
      </c>
      <c r="L24" s="77">
        <v>71883809.986049995</v>
      </c>
      <c r="M24" s="77">
        <v>71883809.986049995</v>
      </c>
      <c r="N24" s="77">
        <v>71883809.986049995</v>
      </c>
      <c r="O24" s="77">
        <v>71883809.986049995</v>
      </c>
      <c r="P24" s="66"/>
      <c r="Q24" s="66"/>
      <c r="R24" s="78" t="str">
        <f t="shared" si="1"/>
        <v>MXN - Inversion Leasing Fijo</v>
      </c>
      <c r="S24" s="79">
        <v>0</v>
      </c>
      <c r="T24" s="79">
        <v>0</v>
      </c>
      <c r="U24" s="79">
        <v>0</v>
      </c>
      <c r="V24" s="79">
        <v>0</v>
      </c>
      <c r="W24" s="79">
        <v>0</v>
      </c>
      <c r="X24" s="79">
        <v>0</v>
      </c>
      <c r="Y24" s="79">
        <v>0</v>
      </c>
      <c r="Z24" s="79">
        <v>0</v>
      </c>
      <c r="AA24" s="79">
        <v>0</v>
      </c>
      <c r="AB24" s="79">
        <v>0</v>
      </c>
      <c r="AC24" s="79">
        <v>0</v>
      </c>
      <c r="AD24" s="79">
        <v>0</v>
      </c>
      <c r="AE24" s="66"/>
      <c r="AF24" s="75"/>
      <c r="AG24" s="78" t="str">
        <f t="shared" si="2"/>
        <v>MXN - Inversion Leasing Fijo</v>
      </c>
      <c r="AH24" s="80">
        <v>0</v>
      </c>
      <c r="AI24" s="80">
        <v>0</v>
      </c>
      <c r="AJ24" s="80">
        <v>0</v>
      </c>
      <c r="AK24" s="80">
        <v>0</v>
      </c>
      <c r="AL24" s="80">
        <v>0</v>
      </c>
      <c r="AM24" s="80">
        <v>0</v>
      </c>
      <c r="AN24" s="80">
        <v>0</v>
      </c>
      <c r="AO24" s="80">
        <v>0</v>
      </c>
      <c r="AP24" s="80">
        <v>0</v>
      </c>
      <c r="AQ24" s="80">
        <v>0</v>
      </c>
      <c r="AR24" s="80">
        <v>0</v>
      </c>
      <c r="AS24" s="80">
        <v>0</v>
      </c>
      <c r="AT24" s="66"/>
      <c r="AU24" s="76"/>
      <c r="AV24" s="78" t="str">
        <f t="shared" si="3"/>
        <v>MXN - Inversion Leasing Fijo</v>
      </c>
      <c r="AW24" s="80">
        <v>0</v>
      </c>
      <c r="AX24" s="80">
        <v>0</v>
      </c>
      <c r="AY24" s="80">
        <v>0</v>
      </c>
      <c r="AZ24" s="80">
        <v>0</v>
      </c>
      <c r="BA24" s="80">
        <v>0</v>
      </c>
      <c r="BB24" s="80">
        <v>0</v>
      </c>
      <c r="BC24" s="80">
        <v>0</v>
      </c>
      <c r="BD24" s="80">
        <v>0</v>
      </c>
      <c r="BE24" s="80">
        <v>0</v>
      </c>
      <c r="BF24" s="80">
        <v>0</v>
      </c>
      <c r="BG24" s="80">
        <v>0</v>
      </c>
      <c r="BH24" s="80">
        <v>0</v>
      </c>
      <c r="BI24" s="66"/>
      <c r="BJ24" s="76"/>
      <c r="BK24" s="78" t="str">
        <f t="shared" si="4"/>
        <v>MXN - Inversion Leasing Fijo</v>
      </c>
      <c r="BL24" s="81" t="s">
        <v>338</v>
      </c>
      <c r="BM24" s="81" t="s">
        <v>338</v>
      </c>
      <c r="BN24" s="81" t="s">
        <v>338</v>
      </c>
      <c r="BO24" s="81" t="s">
        <v>338</v>
      </c>
      <c r="BP24" s="81" t="s">
        <v>338</v>
      </c>
      <c r="BQ24" s="81" t="s">
        <v>338</v>
      </c>
      <c r="BR24" s="81" t="s">
        <v>338</v>
      </c>
      <c r="BS24" s="81" t="s">
        <v>338</v>
      </c>
      <c r="BT24" s="81" t="s">
        <v>338</v>
      </c>
      <c r="BU24" s="81" t="s">
        <v>338</v>
      </c>
      <c r="BV24" s="81" t="s">
        <v>338</v>
      </c>
      <c r="BW24" s="81" t="s">
        <v>338</v>
      </c>
      <c r="BX24" s="66"/>
      <c r="BY24" s="76"/>
      <c r="BZ24" s="78" t="str">
        <f t="shared" si="5"/>
        <v>MXN - Inversion Leasing Fijo</v>
      </c>
      <c r="CA24" s="79">
        <v>1</v>
      </c>
      <c r="CB24" s="79">
        <v>1</v>
      </c>
      <c r="CC24" s="79">
        <v>1</v>
      </c>
      <c r="CD24" s="79">
        <v>1</v>
      </c>
      <c r="CE24" s="79">
        <v>1</v>
      </c>
      <c r="CF24" s="79">
        <v>1</v>
      </c>
      <c r="CG24" s="79">
        <v>1</v>
      </c>
      <c r="CH24" s="79">
        <v>1</v>
      </c>
      <c r="CI24" s="79">
        <v>1</v>
      </c>
      <c r="CJ24" s="79">
        <v>1</v>
      </c>
      <c r="CK24" s="79">
        <v>1</v>
      </c>
      <c r="CL24" s="79">
        <v>1</v>
      </c>
      <c r="CM24" s="66"/>
      <c r="CN24" s="76"/>
      <c r="CO24" s="78" t="str">
        <f t="shared" si="6"/>
        <v>MXN - Inversion Leasing Fijo</v>
      </c>
      <c r="CP24" s="79">
        <v>0</v>
      </c>
      <c r="CQ24" s="79">
        <v>0</v>
      </c>
      <c r="CR24" s="79">
        <v>0</v>
      </c>
      <c r="CS24" s="79">
        <v>0</v>
      </c>
      <c r="CT24" s="79">
        <v>0</v>
      </c>
      <c r="CU24" s="79">
        <v>0</v>
      </c>
      <c r="CV24" s="79">
        <v>0</v>
      </c>
      <c r="CW24" s="79">
        <v>0</v>
      </c>
      <c r="CX24" s="79">
        <v>0</v>
      </c>
      <c r="CY24" s="79">
        <v>0</v>
      </c>
      <c r="CZ24" s="79">
        <v>0</v>
      </c>
      <c r="DA24" s="79">
        <v>0</v>
      </c>
      <c r="DB24" s="66"/>
      <c r="DC24" s="66"/>
      <c r="DD24" s="78" t="str">
        <f t="shared" si="7"/>
        <v>MXN - Inversion Leasing Fijo</v>
      </c>
      <c r="DE24" s="79">
        <v>0</v>
      </c>
      <c r="DF24" s="79">
        <v>0</v>
      </c>
      <c r="DG24" s="79">
        <v>0</v>
      </c>
      <c r="DH24" s="79">
        <v>0</v>
      </c>
      <c r="DI24" s="79">
        <v>0</v>
      </c>
      <c r="DJ24" s="79">
        <v>0</v>
      </c>
      <c r="DK24" s="79">
        <v>0</v>
      </c>
      <c r="DL24" s="79">
        <v>0</v>
      </c>
      <c r="DM24" s="79">
        <v>0</v>
      </c>
      <c r="DN24" s="79">
        <v>0</v>
      </c>
      <c r="DO24" s="79">
        <v>0</v>
      </c>
      <c r="DP24" s="79">
        <v>0</v>
      </c>
      <c r="DQ24" s="66"/>
      <c r="DR24" s="76"/>
      <c r="DS24" s="78" t="str">
        <f t="shared" si="8"/>
        <v>MXN - Inversion Leasing Fijo</v>
      </c>
      <c r="DT24" s="79">
        <v>0</v>
      </c>
      <c r="DU24" s="79">
        <v>0</v>
      </c>
      <c r="DV24" s="79">
        <v>0</v>
      </c>
      <c r="DW24" s="79">
        <v>0</v>
      </c>
      <c r="DX24" s="79">
        <v>0</v>
      </c>
      <c r="DY24" s="79">
        <v>0</v>
      </c>
      <c r="DZ24" s="79">
        <v>0</v>
      </c>
      <c r="EA24" s="79">
        <v>0</v>
      </c>
      <c r="EB24" s="79">
        <v>0</v>
      </c>
      <c r="EC24" s="79">
        <v>0</v>
      </c>
      <c r="ED24" s="79">
        <v>0</v>
      </c>
      <c r="EE24" s="79">
        <v>0</v>
      </c>
      <c r="EF24" s="66"/>
      <c r="EG24" s="76"/>
      <c r="EH24" s="78" t="str">
        <f t="shared" si="9"/>
        <v>MXN - Inversion Leasing Fijo</v>
      </c>
      <c r="EI24" s="79">
        <v>0</v>
      </c>
      <c r="EJ24" s="79">
        <v>0</v>
      </c>
      <c r="EK24" s="79">
        <v>0</v>
      </c>
      <c r="EL24" s="79">
        <v>0</v>
      </c>
      <c r="EM24" s="79">
        <v>0</v>
      </c>
      <c r="EN24" s="79">
        <v>0</v>
      </c>
      <c r="EO24" s="79">
        <v>0</v>
      </c>
      <c r="EP24" s="79">
        <v>0</v>
      </c>
      <c r="EQ24" s="79">
        <v>0</v>
      </c>
      <c r="ER24" s="79">
        <v>0</v>
      </c>
      <c r="ES24" s="79">
        <v>0</v>
      </c>
      <c r="ET24" s="79">
        <v>0</v>
      </c>
      <c r="EU24" s="66"/>
      <c r="EV24" s="66"/>
      <c r="EW24" s="66"/>
      <c r="EX24" s="66"/>
      <c r="EY24" s="66"/>
      <c r="EZ24" s="66"/>
      <c r="FA24" s="66"/>
      <c r="FB24" s="66"/>
      <c r="FC24" s="66"/>
      <c r="FD24" s="66"/>
      <c r="FE24" s="66"/>
      <c r="FF24" s="66"/>
      <c r="FG24" s="66"/>
      <c r="FH24" s="66"/>
      <c r="FI24" s="66"/>
      <c r="FJ24" s="76"/>
      <c r="FK24" s="78" t="str">
        <f t="shared" si="10"/>
        <v>MXN - Inversion Leasing Fijo</v>
      </c>
      <c r="FL24" s="79">
        <v>0</v>
      </c>
      <c r="FM24" s="79">
        <v>0</v>
      </c>
      <c r="FN24" s="79">
        <v>0</v>
      </c>
      <c r="FO24" s="79">
        <v>0</v>
      </c>
      <c r="FP24" s="79">
        <v>0</v>
      </c>
      <c r="FQ24" s="79">
        <v>0</v>
      </c>
      <c r="FR24" s="79">
        <v>0</v>
      </c>
      <c r="FS24" s="79">
        <v>0</v>
      </c>
      <c r="FT24" s="79">
        <v>0</v>
      </c>
      <c r="FU24" s="79">
        <v>0</v>
      </c>
      <c r="FV24" s="79">
        <v>0</v>
      </c>
      <c r="FW24" s="79">
        <v>0</v>
      </c>
      <c r="FX24" s="68"/>
      <c r="FY24" s="76"/>
      <c r="FZ24" s="78" t="str">
        <f t="shared" si="11"/>
        <v>MXN - Inversion Leasing Fijo</v>
      </c>
      <c r="GA24" s="79" t="s">
        <v>338</v>
      </c>
      <c r="GB24" s="79" t="s">
        <v>338</v>
      </c>
      <c r="GC24" s="79" t="s">
        <v>338</v>
      </c>
      <c r="GD24" s="79" t="s">
        <v>338</v>
      </c>
      <c r="GE24" s="79" t="s">
        <v>338</v>
      </c>
      <c r="GF24" s="79" t="s">
        <v>338</v>
      </c>
      <c r="GG24" s="79" t="s">
        <v>338</v>
      </c>
      <c r="GH24" s="79" t="s">
        <v>338</v>
      </c>
      <c r="GI24" s="79" t="s">
        <v>338</v>
      </c>
      <c r="GJ24" s="79" t="s">
        <v>338</v>
      </c>
      <c r="GK24" s="79" t="s">
        <v>338</v>
      </c>
      <c r="GL24" s="79" t="s">
        <v>338</v>
      </c>
    </row>
    <row r="25" spans="1:194" ht="14.25" customHeight="1" x14ac:dyDescent="0.35">
      <c r="A25" s="65"/>
      <c r="B25" s="75"/>
      <c r="C25" s="76" t="s">
        <v>436</v>
      </c>
      <c r="D25" s="77">
        <v>0</v>
      </c>
      <c r="E25" s="77">
        <v>0</v>
      </c>
      <c r="F25" s="77">
        <v>0</v>
      </c>
      <c r="G25" s="77">
        <v>0</v>
      </c>
      <c r="H25" s="77">
        <v>0</v>
      </c>
      <c r="I25" s="77">
        <v>0</v>
      </c>
      <c r="J25" s="77">
        <v>0</v>
      </c>
      <c r="K25" s="77">
        <v>0</v>
      </c>
      <c r="L25" s="77">
        <v>0</v>
      </c>
      <c r="M25" s="77">
        <v>0</v>
      </c>
      <c r="N25" s="77">
        <v>0</v>
      </c>
      <c r="O25" s="77">
        <v>0</v>
      </c>
      <c r="P25" s="66"/>
      <c r="Q25" s="66"/>
      <c r="R25" s="78" t="str">
        <f t="shared" si="1"/>
        <v>MXN - Inversion Leasing Variable</v>
      </c>
      <c r="S25" s="79">
        <v>0</v>
      </c>
      <c r="T25" s="79">
        <v>0</v>
      </c>
      <c r="U25" s="79">
        <v>0</v>
      </c>
      <c r="V25" s="79">
        <v>0</v>
      </c>
      <c r="W25" s="79">
        <v>0</v>
      </c>
      <c r="X25" s="79">
        <v>0</v>
      </c>
      <c r="Y25" s="79">
        <v>0</v>
      </c>
      <c r="Z25" s="79">
        <v>0</v>
      </c>
      <c r="AA25" s="79">
        <v>0</v>
      </c>
      <c r="AB25" s="79">
        <v>0</v>
      </c>
      <c r="AC25" s="79">
        <v>0</v>
      </c>
      <c r="AD25" s="79">
        <v>0</v>
      </c>
      <c r="AE25" s="66"/>
      <c r="AF25" s="75"/>
      <c r="AG25" s="78" t="str">
        <f t="shared" si="2"/>
        <v>MXN - Inversion Leasing Variable</v>
      </c>
      <c r="AH25" s="80">
        <v>0</v>
      </c>
      <c r="AI25" s="80">
        <v>0</v>
      </c>
      <c r="AJ25" s="80">
        <v>0</v>
      </c>
      <c r="AK25" s="80">
        <v>0</v>
      </c>
      <c r="AL25" s="80">
        <v>0</v>
      </c>
      <c r="AM25" s="80">
        <v>0</v>
      </c>
      <c r="AN25" s="80">
        <v>0</v>
      </c>
      <c r="AO25" s="80">
        <v>0</v>
      </c>
      <c r="AP25" s="80">
        <v>0</v>
      </c>
      <c r="AQ25" s="80">
        <v>0</v>
      </c>
      <c r="AR25" s="80">
        <v>0</v>
      </c>
      <c r="AS25" s="80">
        <v>0</v>
      </c>
      <c r="AT25" s="66"/>
      <c r="AU25" s="76"/>
      <c r="AV25" s="78" t="str">
        <f t="shared" si="3"/>
        <v>MXN - Inversion Leasing Variable</v>
      </c>
      <c r="AW25" s="80">
        <v>0.04</v>
      </c>
      <c r="AX25" s="80">
        <v>0.04</v>
      </c>
      <c r="AY25" s="80">
        <v>0.04</v>
      </c>
      <c r="AZ25" s="80">
        <v>0.04</v>
      </c>
      <c r="BA25" s="80">
        <v>0.04</v>
      </c>
      <c r="BB25" s="80">
        <v>0.04</v>
      </c>
      <c r="BC25" s="80">
        <v>0.04</v>
      </c>
      <c r="BD25" s="80">
        <v>0.04</v>
      </c>
      <c r="BE25" s="80">
        <v>0.04</v>
      </c>
      <c r="BF25" s="80">
        <v>0.04</v>
      </c>
      <c r="BG25" s="80">
        <v>0.04</v>
      </c>
      <c r="BH25" s="80">
        <v>0.04</v>
      </c>
      <c r="BI25" s="66"/>
      <c r="BJ25" s="76"/>
      <c r="BK25" s="78" t="str">
        <f t="shared" si="4"/>
        <v>MXN - Inversion Leasing Variable</v>
      </c>
      <c r="BL25" s="81" t="s">
        <v>338</v>
      </c>
      <c r="BM25" s="81" t="s">
        <v>338</v>
      </c>
      <c r="BN25" s="81" t="s">
        <v>338</v>
      </c>
      <c r="BO25" s="81" t="s">
        <v>338</v>
      </c>
      <c r="BP25" s="81" t="s">
        <v>338</v>
      </c>
      <c r="BQ25" s="81" t="s">
        <v>338</v>
      </c>
      <c r="BR25" s="81" t="s">
        <v>338</v>
      </c>
      <c r="BS25" s="81" t="s">
        <v>338</v>
      </c>
      <c r="BT25" s="81" t="s">
        <v>338</v>
      </c>
      <c r="BU25" s="81" t="s">
        <v>338</v>
      </c>
      <c r="BV25" s="81" t="s">
        <v>338</v>
      </c>
      <c r="BW25" s="81" t="s">
        <v>338</v>
      </c>
      <c r="BX25" s="66"/>
      <c r="BY25" s="76"/>
      <c r="BZ25" s="78" t="str">
        <f t="shared" si="5"/>
        <v>MXN - Inversion Leasing Variable</v>
      </c>
      <c r="CA25" s="79">
        <v>1</v>
      </c>
      <c r="CB25" s="79">
        <v>1</v>
      </c>
      <c r="CC25" s="79">
        <v>1</v>
      </c>
      <c r="CD25" s="79">
        <v>1</v>
      </c>
      <c r="CE25" s="79">
        <v>1</v>
      </c>
      <c r="CF25" s="79">
        <v>1</v>
      </c>
      <c r="CG25" s="79">
        <v>1</v>
      </c>
      <c r="CH25" s="79">
        <v>1</v>
      </c>
      <c r="CI25" s="79">
        <v>1</v>
      </c>
      <c r="CJ25" s="79">
        <v>1</v>
      </c>
      <c r="CK25" s="79">
        <v>1</v>
      </c>
      <c r="CL25" s="79">
        <v>1</v>
      </c>
      <c r="CM25" s="66"/>
      <c r="CN25" s="76"/>
      <c r="CO25" s="78" t="str">
        <f t="shared" si="6"/>
        <v>MXN - Inversion Leasing Variable</v>
      </c>
      <c r="CP25" s="79">
        <v>0</v>
      </c>
      <c r="CQ25" s="79">
        <v>0</v>
      </c>
      <c r="CR25" s="79">
        <v>0</v>
      </c>
      <c r="CS25" s="79">
        <v>0</v>
      </c>
      <c r="CT25" s="79">
        <v>0</v>
      </c>
      <c r="CU25" s="79">
        <v>0</v>
      </c>
      <c r="CV25" s="79">
        <v>0</v>
      </c>
      <c r="CW25" s="79">
        <v>0</v>
      </c>
      <c r="CX25" s="79">
        <v>0</v>
      </c>
      <c r="CY25" s="79">
        <v>0</v>
      </c>
      <c r="CZ25" s="79">
        <v>0</v>
      </c>
      <c r="DA25" s="79">
        <v>0</v>
      </c>
      <c r="DB25" s="66"/>
      <c r="DC25" s="66"/>
      <c r="DD25" s="78" t="str">
        <f t="shared" si="7"/>
        <v>MXN - Inversion Leasing Variable</v>
      </c>
      <c r="DE25" s="79">
        <v>0</v>
      </c>
      <c r="DF25" s="79">
        <v>0</v>
      </c>
      <c r="DG25" s="79">
        <v>0</v>
      </c>
      <c r="DH25" s="79">
        <v>0</v>
      </c>
      <c r="DI25" s="79">
        <v>0</v>
      </c>
      <c r="DJ25" s="79">
        <v>0</v>
      </c>
      <c r="DK25" s="79">
        <v>0</v>
      </c>
      <c r="DL25" s="79">
        <v>0</v>
      </c>
      <c r="DM25" s="79">
        <v>0</v>
      </c>
      <c r="DN25" s="79">
        <v>0</v>
      </c>
      <c r="DO25" s="79">
        <v>0</v>
      </c>
      <c r="DP25" s="79">
        <v>0</v>
      </c>
      <c r="DQ25" s="66"/>
      <c r="DR25" s="76"/>
      <c r="DS25" s="78" t="str">
        <f t="shared" si="8"/>
        <v>MXN - Inversion Leasing Variable</v>
      </c>
      <c r="DT25" s="79">
        <v>0</v>
      </c>
      <c r="DU25" s="79">
        <v>0</v>
      </c>
      <c r="DV25" s="79">
        <v>0</v>
      </c>
      <c r="DW25" s="79">
        <v>0</v>
      </c>
      <c r="DX25" s="79">
        <v>0</v>
      </c>
      <c r="DY25" s="79">
        <v>0</v>
      </c>
      <c r="DZ25" s="79">
        <v>0</v>
      </c>
      <c r="EA25" s="79">
        <v>0</v>
      </c>
      <c r="EB25" s="79">
        <v>0</v>
      </c>
      <c r="EC25" s="79">
        <v>0</v>
      </c>
      <c r="ED25" s="79">
        <v>0</v>
      </c>
      <c r="EE25" s="79">
        <v>0</v>
      </c>
      <c r="EF25" s="66"/>
      <c r="EG25" s="76"/>
      <c r="EH25" s="78" t="str">
        <f t="shared" si="9"/>
        <v>MXN - Inversion Leasing Variable</v>
      </c>
      <c r="EI25" s="79">
        <v>0</v>
      </c>
      <c r="EJ25" s="79">
        <v>0</v>
      </c>
      <c r="EK25" s="79">
        <v>0</v>
      </c>
      <c r="EL25" s="79">
        <v>0</v>
      </c>
      <c r="EM25" s="79">
        <v>0</v>
      </c>
      <c r="EN25" s="79">
        <v>0</v>
      </c>
      <c r="EO25" s="79">
        <v>0</v>
      </c>
      <c r="EP25" s="79">
        <v>0</v>
      </c>
      <c r="EQ25" s="79">
        <v>0</v>
      </c>
      <c r="ER25" s="79">
        <v>0</v>
      </c>
      <c r="ES25" s="79">
        <v>0</v>
      </c>
      <c r="ET25" s="79">
        <v>0</v>
      </c>
      <c r="EU25" s="66"/>
      <c r="EV25" s="66"/>
      <c r="EW25" s="66"/>
      <c r="EX25" s="66"/>
      <c r="EY25" s="66"/>
      <c r="EZ25" s="66"/>
      <c r="FA25" s="66"/>
      <c r="FB25" s="66"/>
      <c r="FC25" s="66"/>
      <c r="FD25" s="66"/>
      <c r="FE25" s="66"/>
      <c r="FF25" s="66"/>
      <c r="FG25" s="66"/>
      <c r="FH25" s="66"/>
      <c r="FI25" s="66"/>
      <c r="FJ25" s="76"/>
      <c r="FK25" s="78" t="str">
        <f t="shared" si="10"/>
        <v>MXN - Inversion Leasing Variable</v>
      </c>
      <c r="FL25" s="79">
        <v>0</v>
      </c>
      <c r="FM25" s="79">
        <v>0</v>
      </c>
      <c r="FN25" s="79">
        <v>0</v>
      </c>
      <c r="FO25" s="79">
        <v>0</v>
      </c>
      <c r="FP25" s="79">
        <v>0</v>
      </c>
      <c r="FQ25" s="79">
        <v>0</v>
      </c>
      <c r="FR25" s="79">
        <v>0</v>
      </c>
      <c r="FS25" s="79">
        <v>0</v>
      </c>
      <c r="FT25" s="79">
        <v>0</v>
      </c>
      <c r="FU25" s="79">
        <v>0</v>
      </c>
      <c r="FV25" s="79">
        <v>0</v>
      </c>
      <c r="FW25" s="79">
        <v>0</v>
      </c>
      <c r="FX25" s="68"/>
      <c r="FY25" s="76"/>
      <c r="FZ25" s="78" t="str">
        <f t="shared" si="11"/>
        <v>MXN - Inversion Leasing Variable</v>
      </c>
      <c r="GA25" s="79" t="s">
        <v>338</v>
      </c>
      <c r="GB25" s="79" t="s">
        <v>338</v>
      </c>
      <c r="GC25" s="79" t="s">
        <v>338</v>
      </c>
      <c r="GD25" s="79" t="s">
        <v>338</v>
      </c>
      <c r="GE25" s="79" t="s">
        <v>338</v>
      </c>
      <c r="GF25" s="79" t="s">
        <v>338</v>
      </c>
      <c r="GG25" s="79" t="s">
        <v>338</v>
      </c>
      <c r="GH25" s="79" t="s">
        <v>338</v>
      </c>
      <c r="GI25" s="79" t="s">
        <v>338</v>
      </c>
      <c r="GJ25" s="79" t="s">
        <v>338</v>
      </c>
      <c r="GK25" s="79" t="s">
        <v>338</v>
      </c>
      <c r="GL25" s="79" t="s">
        <v>338</v>
      </c>
    </row>
    <row r="26" spans="1:194" ht="14.25" customHeight="1" x14ac:dyDescent="0.35">
      <c r="A26" s="65"/>
      <c r="B26" s="75"/>
      <c r="C26" s="76" t="s">
        <v>437</v>
      </c>
      <c r="D26" s="77">
        <v>-397806245.50353014</v>
      </c>
      <c r="E26" s="77">
        <v>102193754.49646986</v>
      </c>
      <c r="F26" s="77">
        <v>102193754.49646986</v>
      </c>
      <c r="G26" s="77">
        <v>102193754.49646986</v>
      </c>
      <c r="H26" s="77">
        <v>102193754.49646986</v>
      </c>
      <c r="I26" s="77">
        <v>102193754.49646986</v>
      </c>
      <c r="J26" s="77">
        <v>102193754.49646986</v>
      </c>
      <c r="K26" s="77">
        <v>102193754.49646986</v>
      </c>
      <c r="L26" s="77">
        <v>102193754.49646986</v>
      </c>
      <c r="M26" s="77">
        <v>102193754.49646986</v>
      </c>
      <c r="N26" s="77">
        <v>102193754.49646986</v>
      </c>
      <c r="O26" s="77">
        <v>102193754.49646986</v>
      </c>
      <c r="P26" s="66"/>
      <c r="Q26" s="66"/>
      <c r="R26" s="78" t="str">
        <f t="shared" si="1"/>
        <v>MXN - Resto Empresas Fijo</v>
      </c>
      <c r="S26" s="79">
        <v>0</v>
      </c>
      <c r="T26" s="79">
        <v>0</v>
      </c>
      <c r="U26" s="79">
        <v>0</v>
      </c>
      <c r="V26" s="79">
        <v>0</v>
      </c>
      <c r="W26" s="79">
        <v>0</v>
      </c>
      <c r="X26" s="79">
        <v>0</v>
      </c>
      <c r="Y26" s="79">
        <v>0</v>
      </c>
      <c r="Z26" s="79">
        <v>0</v>
      </c>
      <c r="AA26" s="79">
        <v>0</v>
      </c>
      <c r="AB26" s="79">
        <v>0</v>
      </c>
      <c r="AC26" s="79">
        <v>0</v>
      </c>
      <c r="AD26" s="79">
        <v>0</v>
      </c>
      <c r="AE26" s="66"/>
      <c r="AF26" s="75"/>
      <c r="AG26" s="78" t="str">
        <f t="shared" si="2"/>
        <v>MXN - Resto Empresas Fijo</v>
      </c>
      <c r="AH26" s="80">
        <v>0.3</v>
      </c>
      <c r="AI26" s="80">
        <v>0.3</v>
      </c>
      <c r="AJ26" s="80">
        <v>0.3</v>
      </c>
      <c r="AK26" s="80">
        <v>0.3</v>
      </c>
      <c r="AL26" s="80">
        <v>0.3</v>
      </c>
      <c r="AM26" s="80">
        <v>0.3</v>
      </c>
      <c r="AN26" s="80">
        <v>0.3</v>
      </c>
      <c r="AO26" s="80">
        <v>0.3</v>
      </c>
      <c r="AP26" s="80">
        <v>0.3</v>
      </c>
      <c r="AQ26" s="80">
        <v>0.3</v>
      </c>
      <c r="AR26" s="80">
        <v>0.3</v>
      </c>
      <c r="AS26" s="80">
        <v>0.3</v>
      </c>
      <c r="AT26" s="66"/>
      <c r="AU26" s="76"/>
      <c r="AV26" s="78" t="str">
        <f t="shared" si="3"/>
        <v>MXN - Resto Empresas Fijo</v>
      </c>
      <c r="AW26" s="80">
        <v>0</v>
      </c>
      <c r="AX26" s="80">
        <v>0</v>
      </c>
      <c r="AY26" s="80">
        <v>0</v>
      </c>
      <c r="AZ26" s="80">
        <v>0</v>
      </c>
      <c r="BA26" s="80">
        <v>0</v>
      </c>
      <c r="BB26" s="80">
        <v>0</v>
      </c>
      <c r="BC26" s="80">
        <v>0</v>
      </c>
      <c r="BD26" s="80">
        <v>0</v>
      </c>
      <c r="BE26" s="80">
        <v>0</v>
      </c>
      <c r="BF26" s="80">
        <v>0</v>
      </c>
      <c r="BG26" s="80">
        <v>0</v>
      </c>
      <c r="BH26" s="80">
        <v>0</v>
      </c>
      <c r="BI26" s="66"/>
      <c r="BJ26" s="76"/>
      <c r="BK26" s="78" t="str">
        <f t="shared" si="4"/>
        <v>MXN - Resto Empresas Fijo</v>
      </c>
      <c r="BL26" s="81" t="s">
        <v>382</v>
      </c>
      <c r="BM26" s="81" t="s">
        <v>382</v>
      </c>
      <c r="BN26" s="81" t="s">
        <v>382</v>
      </c>
      <c r="BO26" s="81" t="s">
        <v>382</v>
      </c>
      <c r="BP26" s="81" t="s">
        <v>382</v>
      </c>
      <c r="BQ26" s="81" t="s">
        <v>382</v>
      </c>
      <c r="BR26" s="81" t="s">
        <v>382</v>
      </c>
      <c r="BS26" s="81" t="s">
        <v>382</v>
      </c>
      <c r="BT26" s="81" t="s">
        <v>382</v>
      </c>
      <c r="BU26" s="81" t="s">
        <v>382</v>
      </c>
      <c r="BV26" s="81" t="s">
        <v>382</v>
      </c>
      <c r="BW26" s="81" t="s">
        <v>382</v>
      </c>
      <c r="BX26" s="66"/>
      <c r="BY26" s="76"/>
      <c r="BZ26" s="78" t="str">
        <f t="shared" si="5"/>
        <v>MXN - Resto Empresas Fijo</v>
      </c>
      <c r="CA26" s="79">
        <v>1</v>
      </c>
      <c r="CB26" s="79">
        <v>1</v>
      </c>
      <c r="CC26" s="79">
        <v>1</v>
      </c>
      <c r="CD26" s="79">
        <v>1</v>
      </c>
      <c r="CE26" s="79">
        <v>1</v>
      </c>
      <c r="CF26" s="79">
        <v>1</v>
      </c>
      <c r="CG26" s="79">
        <v>1</v>
      </c>
      <c r="CH26" s="79">
        <v>1</v>
      </c>
      <c r="CI26" s="79">
        <v>1</v>
      </c>
      <c r="CJ26" s="79">
        <v>1</v>
      </c>
      <c r="CK26" s="79">
        <v>1</v>
      </c>
      <c r="CL26" s="79">
        <v>1</v>
      </c>
      <c r="CM26" s="66"/>
      <c r="CN26" s="76"/>
      <c r="CO26" s="78" t="str">
        <f t="shared" si="6"/>
        <v>MXN - Resto Empresas Fijo</v>
      </c>
      <c r="CP26" s="79">
        <v>0</v>
      </c>
      <c r="CQ26" s="79">
        <v>0</v>
      </c>
      <c r="CR26" s="79">
        <v>0</v>
      </c>
      <c r="CS26" s="79">
        <v>0</v>
      </c>
      <c r="CT26" s="79">
        <v>0</v>
      </c>
      <c r="CU26" s="79">
        <v>0</v>
      </c>
      <c r="CV26" s="79">
        <v>0</v>
      </c>
      <c r="CW26" s="79">
        <v>0</v>
      </c>
      <c r="CX26" s="79">
        <v>0</v>
      </c>
      <c r="CY26" s="79">
        <v>0</v>
      </c>
      <c r="CZ26" s="79">
        <v>0</v>
      </c>
      <c r="DA26" s="79">
        <v>0</v>
      </c>
      <c r="DB26" s="66"/>
      <c r="DC26" s="66"/>
      <c r="DD26" s="78" t="str">
        <f t="shared" si="7"/>
        <v>MXN - Resto Empresas Fijo</v>
      </c>
      <c r="DE26" s="79">
        <v>0</v>
      </c>
      <c r="DF26" s="79">
        <v>0</v>
      </c>
      <c r="DG26" s="79">
        <v>0</v>
      </c>
      <c r="DH26" s="79">
        <v>0</v>
      </c>
      <c r="DI26" s="79">
        <v>0</v>
      </c>
      <c r="DJ26" s="79">
        <v>0</v>
      </c>
      <c r="DK26" s="79">
        <v>0</v>
      </c>
      <c r="DL26" s="79">
        <v>0</v>
      </c>
      <c r="DM26" s="79">
        <v>0</v>
      </c>
      <c r="DN26" s="79">
        <v>0</v>
      </c>
      <c r="DO26" s="79">
        <v>0</v>
      </c>
      <c r="DP26" s="79">
        <v>0</v>
      </c>
      <c r="DQ26" s="66"/>
      <c r="DR26" s="76"/>
      <c r="DS26" s="78" t="str">
        <f t="shared" si="8"/>
        <v>MXN - Resto Empresas Fijo</v>
      </c>
      <c r="DT26" s="79">
        <v>0</v>
      </c>
      <c r="DU26" s="79">
        <v>0</v>
      </c>
      <c r="DV26" s="79">
        <v>0</v>
      </c>
      <c r="DW26" s="79">
        <v>0</v>
      </c>
      <c r="DX26" s="79">
        <v>0</v>
      </c>
      <c r="DY26" s="79">
        <v>0</v>
      </c>
      <c r="DZ26" s="79">
        <v>0</v>
      </c>
      <c r="EA26" s="79">
        <v>0</v>
      </c>
      <c r="EB26" s="79">
        <v>0</v>
      </c>
      <c r="EC26" s="79">
        <v>0</v>
      </c>
      <c r="ED26" s="79">
        <v>0</v>
      </c>
      <c r="EE26" s="79">
        <v>0</v>
      </c>
      <c r="EF26" s="66"/>
      <c r="EG26" s="76"/>
      <c r="EH26" s="78" t="str">
        <f t="shared" si="9"/>
        <v>MXN - Resto Empresas Fijo</v>
      </c>
      <c r="EI26" s="79">
        <v>0</v>
      </c>
      <c r="EJ26" s="79">
        <v>0</v>
      </c>
      <c r="EK26" s="79">
        <v>0</v>
      </c>
      <c r="EL26" s="79">
        <v>0</v>
      </c>
      <c r="EM26" s="79">
        <v>0</v>
      </c>
      <c r="EN26" s="79">
        <v>0</v>
      </c>
      <c r="EO26" s="79">
        <v>0</v>
      </c>
      <c r="EP26" s="79">
        <v>0</v>
      </c>
      <c r="EQ26" s="79">
        <v>0</v>
      </c>
      <c r="ER26" s="79">
        <v>0</v>
      </c>
      <c r="ES26" s="79">
        <v>0</v>
      </c>
      <c r="ET26" s="79">
        <v>0</v>
      </c>
      <c r="EU26" s="66"/>
      <c r="EV26" s="66"/>
      <c r="EW26" s="66"/>
      <c r="EX26" s="66"/>
      <c r="EY26" s="66"/>
      <c r="EZ26" s="66"/>
      <c r="FA26" s="66"/>
      <c r="FB26" s="66"/>
      <c r="FC26" s="66"/>
      <c r="FD26" s="66"/>
      <c r="FE26" s="66"/>
      <c r="FF26" s="66"/>
      <c r="FG26" s="66"/>
      <c r="FH26" s="66"/>
      <c r="FI26" s="66"/>
      <c r="FJ26" s="76"/>
      <c r="FK26" s="78" t="str">
        <f t="shared" si="10"/>
        <v>MXN - Resto Empresas Fijo</v>
      </c>
      <c r="FL26" s="79">
        <v>0</v>
      </c>
      <c r="FM26" s="79">
        <v>0</v>
      </c>
      <c r="FN26" s="79">
        <v>0</v>
      </c>
      <c r="FO26" s="79">
        <v>0</v>
      </c>
      <c r="FP26" s="79">
        <v>0</v>
      </c>
      <c r="FQ26" s="79">
        <v>0</v>
      </c>
      <c r="FR26" s="79">
        <v>0</v>
      </c>
      <c r="FS26" s="79">
        <v>0</v>
      </c>
      <c r="FT26" s="79">
        <v>0</v>
      </c>
      <c r="FU26" s="79">
        <v>0</v>
      </c>
      <c r="FV26" s="79">
        <v>0</v>
      </c>
      <c r="FW26" s="79">
        <v>0</v>
      </c>
      <c r="FX26" s="68"/>
      <c r="FY26" s="76"/>
      <c r="FZ26" s="78" t="str">
        <f t="shared" si="11"/>
        <v>MXN - Resto Empresas Fijo</v>
      </c>
      <c r="GA26" s="79" t="s">
        <v>338</v>
      </c>
      <c r="GB26" s="79" t="s">
        <v>338</v>
      </c>
      <c r="GC26" s="79" t="s">
        <v>338</v>
      </c>
      <c r="GD26" s="79" t="s">
        <v>338</v>
      </c>
      <c r="GE26" s="79" t="s">
        <v>338</v>
      </c>
      <c r="GF26" s="79" t="s">
        <v>338</v>
      </c>
      <c r="GG26" s="79" t="s">
        <v>338</v>
      </c>
      <c r="GH26" s="79" t="s">
        <v>338</v>
      </c>
      <c r="GI26" s="79" t="s">
        <v>338</v>
      </c>
      <c r="GJ26" s="79" t="s">
        <v>338</v>
      </c>
      <c r="GK26" s="79" t="s">
        <v>338</v>
      </c>
      <c r="GL26" s="79" t="s">
        <v>338</v>
      </c>
    </row>
    <row r="27" spans="1:194" ht="14.25" customHeight="1" x14ac:dyDescent="0.35">
      <c r="A27" s="65"/>
      <c r="B27" s="75"/>
      <c r="C27" s="76" t="s">
        <v>438</v>
      </c>
      <c r="D27" s="77">
        <v>0</v>
      </c>
      <c r="E27" s="77">
        <v>0</v>
      </c>
      <c r="F27" s="77">
        <v>0</v>
      </c>
      <c r="G27" s="77">
        <v>0</v>
      </c>
      <c r="H27" s="77">
        <v>0</v>
      </c>
      <c r="I27" s="77">
        <v>0</v>
      </c>
      <c r="J27" s="77">
        <v>0</v>
      </c>
      <c r="K27" s="77">
        <v>0</v>
      </c>
      <c r="L27" s="77">
        <v>0</v>
      </c>
      <c r="M27" s="77">
        <v>0</v>
      </c>
      <c r="N27" s="77">
        <v>0</v>
      </c>
      <c r="O27" s="77">
        <v>0</v>
      </c>
      <c r="P27" s="66"/>
      <c r="Q27" s="66"/>
      <c r="R27" s="78" t="str">
        <f t="shared" si="1"/>
        <v>MXN - Resto Empresas Variable</v>
      </c>
      <c r="S27" s="79">
        <v>0</v>
      </c>
      <c r="T27" s="79">
        <v>0</v>
      </c>
      <c r="U27" s="79">
        <v>0</v>
      </c>
      <c r="V27" s="79">
        <v>0</v>
      </c>
      <c r="W27" s="79">
        <v>0</v>
      </c>
      <c r="X27" s="79">
        <v>0</v>
      </c>
      <c r="Y27" s="79">
        <v>0</v>
      </c>
      <c r="Z27" s="79">
        <v>0</v>
      </c>
      <c r="AA27" s="79">
        <v>0</v>
      </c>
      <c r="AB27" s="79">
        <v>0</v>
      </c>
      <c r="AC27" s="79">
        <v>0</v>
      </c>
      <c r="AD27" s="79">
        <v>0</v>
      </c>
      <c r="AE27" s="66"/>
      <c r="AF27" s="75"/>
      <c r="AG27" s="78" t="str">
        <f t="shared" si="2"/>
        <v>MXN - Resto Empresas Variable</v>
      </c>
      <c r="AH27" s="80">
        <v>0</v>
      </c>
      <c r="AI27" s="80">
        <v>0</v>
      </c>
      <c r="AJ27" s="80">
        <v>0</v>
      </c>
      <c r="AK27" s="80">
        <v>0</v>
      </c>
      <c r="AL27" s="80">
        <v>0</v>
      </c>
      <c r="AM27" s="80">
        <v>0</v>
      </c>
      <c r="AN27" s="80">
        <v>0</v>
      </c>
      <c r="AO27" s="80">
        <v>0</v>
      </c>
      <c r="AP27" s="80">
        <v>0</v>
      </c>
      <c r="AQ27" s="80">
        <v>0</v>
      </c>
      <c r="AR27" s="80">
        <v>0</v>
      </c>
      <c r="AS27" s="80">
        <v>0</v>
      </c>
      <c r="AT27" s="66"/>
      <c r="AU27" s="76"/>
      <c r="AV27" s="78" t="str">
        <f t="shared" si="3"/>
        <v>MXN - Resto Empresas Variable</v>
      </c>
      <c r="AW27" s="80">
        <v>0.04</v>
      </c>
      <c r="AX27" s="80">
        <v>0.04</v>
      </c>
      <c r="AY27" s="80">
        <v>0.04</v>
      </c>
      <c r="AZ27" s="80">
        <v>0.04</v>
      </c>
      <c r="BA27" s="80">
        <v>0.04</v>
      </c>
      <c r="BB27" s="80">
        <v>0.04</v>
      </c>
      <c r="BC27" s="80">
        <v>0.04</v>
      </c>
      <c r="BD27" s="80">
        <v>0.04</v>
      </c>
      <c r="BE27" s="80">
        <v>0.04</v>
      </c>
      <c r="BF27" s="80">
        <v>0.04</v>
      </c>
      <c r="BG27" s="80">
        <v>0.04</v>
      </c>
      <c r="BH27" s="80">
        <v>0.04</v>
      </c>
      <c r="BI27" s="66"/>
      <c r="BJ27" s="76"/>
      <c r="BK27" s="78" t="str">
        <f t="shared" si="4"/>
        <v>MXN - Resto Empresas Variable</v>
      </c>
      <c r="BL27" s="81" t="s">
        <v>338</v>
      </c>
      <c r="BM27" s="81" t="s">
        <v>338</v>
      </c>
      <c r="BN27" s="81" t="s">
        <v>338</v>
      </c>
      <c r="BO27" s="81" t="s">
        <v>338</v>
      </c>
      <c r="BP27" s="81" t="s">
        <v>338</v>
      </c>
      <c r="BQ27" s="81" t="s">
        <v>338</v>
      </c>
      <c r="BR27" s="81" t="s">
        <v>338</v>
      </c>
      <c r="BS27" s="81" t="s">
        <v>338</v>
      </c>
      <c r="BT27" s="81" t="s">
        <v>338</v>
      </c>
      <c r="BU27" s="81" t="s">
        <v>338</v>
      </c>
      <c r="BV27" s="81" t="s">
        <v>338</v>
      </c>
      <c r="BW27" s="81" t="s">
        <v>338</v>
      </c>
      <c r="BX27" s="66"/>
      <c r="BY27" s="76"/>
      <c r="BZ27" s="78" t="str">
        <f t="shared" si="5"/>
        <v>MXN - Resto Empresas Variable</v>
      </c>
      <c r="CA27" s="79">
        <v>1</v>
      </c>
      <c r="CB27" s="79">
        <v>1</v>
      </c>
      <c r="CC27" s="79">
        <v>1</v>
      </c>
      <c r="CD27" s="79">
        <v>1</v>
      </c>
      <c r="CE27" s="79">
        <v>1</v>
      </c>
      <c r="CF27" s="79">
        <v>1</v>
      </c>
      <c r="CG27" s="79">
        <v>1</v>
      </c>
      <c r="CH27" s="79">
        <v>1</v>
      </c>
      <c r="CI27" s="79">
        <v>1</v>
      </c>
      <c r="CJ27" s="79">
        <v>1</v>
      </c>
      <c r="CK27" s="79">
        <v>1</v>
      </c>
      <c r="CL27" s="79">
        <v>1</v>
      </c>
      <c r="CM27" s="66"/>
      <c r="CN27" s="76"/>
      <c r="CO27" s="78" t="str">
        <f t="shared" si="6"/>
        <v>MXN - Resto Empresas Variable</v>
      </c>
      <c r="CP27" s="79">
        <v>0</v>
      </c>
      <c r="CQ27" s="79">
        <v>0</v>
      </c>
      <c r="CR27" s="79">
        <v>0</v>
      </c>
      <c r="CS27" s="79">
        <v>0</v>
      </c>
      <c r="CT27" s="79">
        <v>0</v>
      </c>
      <c r="CU27" s="79">
        <v>0</v>
      </c>
      <c r="CV27" s="79">
        <v>0</v>
      </c>
      <c r="CW27" s="79">
        <v>0</v>
      </c>
      <c r="CX27" s="79">
        <v>0</v>
      </c>
      <c r="CY27" s="79">
        <v>0</v>
      </c>
      <c r="CZ27" s="79">
        <v>0</v>
      </c>
      <c r="DA27" s="79">
        <v>0</v>
      </c>
      <c r="DB27" s="66"/>
      <c r="DC27" s="66"/>
      <c r="DD27" s="78" t="str">
        <f t="shared" si="7"/>
        <v>MXN - Resto Empresas Variable</v>
      </c>
      <c r="DE27" s="79">
        <v>0</v>
      </c>
      <c r="DF27" s="79">
        <v>0</v>
      </c>
      <c r="DG27" s="79">
        <v>0</v>
      </c>
      <c r="DH27" s="79">
        <v>0</v>
      </c>
      <c r="DI27" s="79">
        <v>0</v>
      </c>
      <c r="DJ27" s="79">
        <v>0</v>
      </c>
      <c r="DK27" s="79">
        <v>0</v>
      </c>
      <c r="DL27" s="79">
        <v>0</v>
      </c>
      <c r="DM27" s="79">
        <v>0</v>
      </c>
      <c r="DN27" s="79">
        <v>0</v>
      </c>
      <c r="DO27" s="79">
        <v>0</v>
      </c>
      <c r="DP27" s="79">
        <v>0</v>
      </c>
      <c r="DQ27" s="66"/>
      <c r="DR27" s="76"/>
      <c r="DS27" s="78" t="str">
        <f t="shared" si="8"/>
        <v>MXN - Resto Empresas Variable</v>
      </c>
      <c r="DT27" s="79">
        <v>0</v>
      </c>
      <c r="DU27" s="79">
        <v>0</v>
      </c>
      <c r="DV27" s="79">
        <v>0</v>
      </c>
      <c r="DW27" s="79">
        <v>0</v>
      </c>
      <c r="DX27" s="79">
        <v>0</v>
      </c>
      <c r="DY27" s="79">
        <v>0</v>
      </c>
      <c r="DZ27" s="79">
        <v>0</v>
      </c>
      <c r="EA27" s="79">
        <v>0</v>
      </c>
      <c r="EB27" s="79">
        <v>0</v>
      </c>
      <c r="EC27" s="79">
        <v>0</v>
      </c>
      <c r="ED27" s="79">
        <v>0</v>
      </c>
      <c r="EE27" s="79">
        <v>0</v>
      </c>
      <c r="EF27" s="66"/>
      <c r="EG27" s="76"/>
      <c r="EH27" s="78" t="str">
        <f t="shared" si="9"/>
        <v>MXN - Resto Empresas Variable</v>
      </c>
      <c r="EI27" s="79">
        <v>0</v>
      </c>
      <c r="EJ27" s="79">
        <v>0</v>
      </c>
      <c r="EK27" s="79">
        <v>0</v>
      </c>
      <c r="EL27" s="79">
        <v>0</v>
      </c>
      <c r="EM27" s="79">
        <v>0</v>
      </c>
      <c r="EN27" s="79">
        <v>0</v>
      </c>
      <c r="EO27" s="79">
        <v>0</v>
      </c>
      <c r="EP27" s="79">
        <v>0</v>
      </c>
      <c r="EQ27" s="79">
        <v>0</v>
      </c>
      <c r="ER27" s="79">
        <v>0</v>
      </c>
      <c r="ES27" s="79">
        <v>0</v>
      </c>
      <c r="ET27" s="79">
        <v>0</v>
      </c>
      <c r="EU27" s="66"/>
      <c r="EV27" s="66"/>
      <c r="EW27" s="66"/>
      <c r="EX27" s="66"/>
      <c r="EY27" s="66"/>
      <c r="EZ27" s="66"/>
      <c r="FA27" s="66"/>
      <c r="FB27" s="66"/>
      <c r="FC27" s="66"/>
      <c r="FD27" s="66"/>
      <c r="FE27" s="66"/>
      <c r="FF27" s="66"/>
      <c r="FG27" s="66"/>
      <c r="FH27" s="66"/>
      <c r="FI27" s="66"/>
      <c r="FJ27" s="76"/>
      <c r="FK27" s="78" t="str">
        <f t="shared" si="10"/>
        <v>MXN - Resto Empresas Variable</v>
      </c>
      <c r="FL27" s="79">
        <v>0</v>
      </c>
      <c r="FM27" s="79">
        <v>0</v>
      </c>
      <c r="FN27" s="79">
        <v>0</v>
      </c>
      <c r="FO27" s="79">
        <v>0</v>
      </c>
      <c r="FP27" s="79">
        <v>0</v>
      </c>
      <c r="FQ27" s="79">
        <v>0</v>
      </c>
      <c r="FR27" s="79">
        <v>0</v>
      </c>
      <c r="FS27" s="79">
        <v>0</v>
      </c>
      <c r="FT27" s="79">
        <v>0</v>
      </c>
      <c r="FU27" s="79">
        <v>0</v>
      </c>
      <c r="FV27" s="79">
        <v>0</v>
      </c>
      <c r="FW27" s="79">
        <v>0</v>
      </c>
      <c r="FX27" s="68"/>
      <c r="FY27" s="76"/>
      <c r="FZ27" s="78" t="str">
        <f t="shared" si="11"/>
        <v>MXN - Resto Empresas Variable</v>
      </c>
      <c r="GA27" s="79" t="s">
        <v>338</v>
      </c>
      <c r="GB27" s="79" t="s">
        <v>338</v>
      </c>
      <c r="GC27" s="79" t="s">
        <v>338</v>
      </c>
      <c r="GD27" s="79" t="s">
        <v>338</v>
      </c>
      <c r="GE27" s="79" t="s">
        <v>338</v>
      </c>
      <c r="GF27" s="79" t="s">
        <v>338</v>
      </c>
      <c r="GG27" s="79" t="s">
        <v>338</v>
      </c>
      <c r="GH27" s="79" t="s">
        <v>338</v>
      </c>
      <c r="GI27" s="79" t="s">
        <v>338</v>
      </c>
      <c r="GJ27" s="79" t="s">
        <v>338</v>
      </c>
      <c r="GK27" s="79" t="s">
        <v>338</v>
      </c>
      <c r="GL27" s="79" t="s">
        <v>338</v>
      </c>
    </row>
    <row r="28" spans="1:194" ht="14.25" customHeight="1" x14ac:dyDescent="0.35">
      <c r="A28" s="65"/>
      <c r="B28" s="75"/>
      <c r="C28" s="76" t="s">
        <v>439</v>
      </c>
      <c r="D28" s="77">
        <v>25287022.979910105</v>
      </c>
      <c r="E28" s="77">
        <v>25287022.979910105</v>
      </c>
      <c r="F28" s="77">
        <v>25287022.979910105</v>
      </c>
      <c r="G28" s="77">
        <v>25287022.979910105</v>
      </c>
      <c r="H28" s="77">
        <v>25287022.979910105</v>
      </c>
      <c r="I28" s="77">
        <v>25287022.979910105</v>
      </c>
      <c r="J28" s="77">
        <v>25287022.979910105</v>
      </c>
      <c r="K28" s="77">
        <v>25287022.979910105</v>
      </c>
      <c r="L28" s="77">
        <v>25287022.979910105</v>
      </c>
      <c r="M28" s="77">
        <v>25287022.979910105</v>
      </c>
      <c r="N28" s="77">
        <v>25287022.979910105</v>
      </c>
      <c r="O28" s="77">
        <v>25287022.979910105</v>
      </c>
      <c r="P28" s="66"/>
      <c r="Q28" s="66"/>
      <c r="R28" s="78" t="str">
        <f t="shared" si="1"/>
        <v>MXN - Mora</v>
      </c>
      <c r="S28" s="79">
        <v>0</v>
      </c>
      <c r="T28" s="79">
        <v>0</v>
      </c>
      <c r="U28" s="79">
        <v>0</v>
      </c>
      <c r="V28" s="79">
        <v>0</v>
      </c>
      <c r="W28" s="79">
        <v>0</v>
      </c>
      <c r="X28" s="79">
        <v>0</v>
      </c>
      <c r="Y28" s="79">
        <v>0</v>
      </c>
      <c r="Z28" s="79">
        <v>0</v>
      </c>
      <c r="AA28" s="79">
        <v>0</v>
      </c>
      <c r="AB28" s="79">
        <v>0</v>
      </c>
      <c r="AC28" s="79">
        <v>0</v>
      </c>
      <c r="AD28" s="79">
        <v>0</v>
      </c>
      <c r="AE28" s="66"/>
      <c r="AF28" s="75"/>
      <c r="AG28" s="78" t="str">
        <f t="shared" si="2"/>
        <v>MXN - Mora</v>
      </c>
      <c r="AH28" s="80">
        <v>0</v>
      </c>
      <c r="AI28" s="80">
        <v>0</v>
      </c>
      <c r="AJ28" s="80">
        <v>0</v>
      </c>
      <c r="AK28" s="80">
        <v>0</v>
      </c>
      <c r="AL28" s="80">
        <v>0</v>
      </c>
      <c r="AM28" s="80">
        <v>0</v>
      </c>
      <c r="AN28" s="80">
        <v>0</v>
      </c>
      <c r="AO28" s="80">
        <v>0</v>
      </c>
      <c r="AP28" s="80">
        <v>0</v>
      </c>
      <c r="AQ28" s="80">
        <v>0</v>
      </c>
      <c r="AR28" s="80">
        <v>0</v>
      </c>
      <c r="AS28" s="80">
        <v>0</v>
      </c>
      <c r="AT28" s="66"/>
      <c r="AU28" s="76"/>
      <c r="AV28" s="78" t="str">
        <f t="shared" si="3"/>
        <v>MXN - Mora</v>
      </c>
      <c r="AW28" s="80">
        <v>0</v>
      </c>
      <c r="AX28" s="80">
        <v>0</v>
      </c>
      <c r="AY28" s="80">
        <v>0</v>
      </c>
      <c r="AZ28" s="80">
        <v>0</v>
      </c>
      <c r="BA28" s="80">
        <v>0</v>
      </c>
      <c r="BB28" s="80">
        <v>0</v>
      </c>
      <c r="BC28" s="80">
        <v>0</v>
      </c>
      <c r="BD28" s="80">
        <v>0</v>
      </c>
      <c r="BE28" s="80">
        <v>0</v>
      </c>
      <c r="BF28" s="80">
        <v>0</v>
      </c>
      <c r="BG28" s="80">
        <v>0</v>
      </c>
      <c r="BH28" s="80">
        <v>0</v>
      </c>
      <c r="BI28" s="66"/>
      <c r="BJ28" s="76"/>
      <c r="BK28" s="78" t="str">
        <f t="shared" si="4"/>
        <v>MXN - Mora</v>
      </c>
      <c r="BL28" s="81" t="s">
        <v>338</v>
      </c>
      <c r="BM28" s="81" t="s">
        <v>338</v>
      </c>
      <c r="BN28" s="81" t="s">
        <v>338</v>
      </c>
      <c r="BO28" s="81" t="s">
        <v>338</v>
      </c>
      <c r="BP28" s="81" t="s">
        <v>338</v>
      </c>
      <c r="BQ28" s="81" t="s">
        <v>338</v>
      </c>
      <c r="BR28" s="81" t="s">
        <v>338</v>
      </c>
      <c r="BS28" s="81" t="s">
        <v>338</v>
      </c>
      <c r="BT28" s="81" t="s">
        <v>338</v>
      </c>
      <c r="BU28" s="81" t="s">
        <v>338</v>
      </c>
      <c r="BV28" s="81" t="s">
        <v>338</v>
      </c>
      <c r="BW28" s="81" t="s">
        <v>338</v>
      </c>
      <c r="BX28" s="66"/>
      <c r="BY28" s="76"/>
      <c r="BZ28" s="78" t="str">
        <f t="shared" si="5"/>
        <v>MXN - Mora</v>
      </c>
      <c r="CA28" s="79">
        <v>1</v>
      </c>
      <c r="CB28" s="79">
        <v>1</v>
      </c>
      <c r="CC28" s="79">
        <v>1</v>
      </c>
      <c r="CD28" s="79">
        <v>1</v>
      </c>
      <c r="CE28" s="79">
        <v>1</v>
      </c>
      <c r="CF28" s="79">
        <v>1</v>
      </c>
      <c r="CG28" s="79">
        <v>1</v>
      </c>
      <c r="CH28" s="79">
        <v>1</v>
      </c>
      <c r="CI28" s="79">
        <v>1</v>
      </c>
      <c r="CJ28" s="79">
        <v>1</v>
      </c>
      <c r="CK28" s="79">
        <v>1</v>
      </c>
      <c r="CL28" s="79">
        <v>1</v>
      </c>
      <c r="CM28" s="66"/>
      <c r="CN28" s="76"/>
      <c r="CO28" s="78" t="str">
        <f t="shared" si="6"/>
        <v>MXN - Mora</v>
      </c>
      <c r="CP28" s="79">
        <v>0</v>
      </c>
      <c r="CQ28" s="79">
        <v>0</v>
      </c>
      <c r="CR28" s="79">
        <v>0</v>
      </c>
      <c r="CS28" s="79">
        <v>0</v>
      </c>
      <c r="CT28" s="79">
        <v>0</v>
      </c>
      <c r="CU28" s="79">
        <v>0</v>
      </c>
      <c r="CV28" s="79">
        <v>0</v>
      </c>
      <c r="CW28" s="79">
        <v>0</v>
      </c>
      <c r="CX28" s="79">
        <v>0</v>
      </c>
      <c r="CY28" s="79">
        <v>0</v>
      </c>
      <c r="CZ28" s="79">
        <v>0</v>
      </c>
      <c r="DA28" s="79">
        <v>0</v>
      </c>
      <c r="DB28" s="66"/>
      <c r="DC28" s="66"/>
      <c r="DD28" s="78" t="str">
        <f t="shared" si="7"/>
        <v>MXN - Mora</v>
      </c>
      <c r="DE28" s="79">
        <v>0</v>
      </c>
      <c r="DF28" s="79">
        <v>0</v>
      </c>
      <c r="DG28" s="79">
        <v>0</v>
      </c>
      <c r="DH28" s="79">
        <v>0</v>
      </c>
      <c r="DI28" s="79">
        <v>0</v>
      </c>
      <c r="DJ28" s="79">
        <v>0</v>
      </c>
      <c r="DK28" s="79">
        <v>0</v>
      </c>
      <c r="DL28" s="79">
        <v>0</v>
      </c>
      <c r="DM28" s="79">
        <v>0</v>
      </c>
      <c r="DN28" s="79">
        <v>0</v>
      </c>
      <c r="DO28" s="79">
        <v>0</v>
      </c>
      <c r="DP28" s="79">
        <v>0</v>
      </c>
      <c r="DQ28" s="66"/>
      <c r="DR28" s="76"/>
      <c r="DS28" s="78" t="str">
        <f t="shared" si="8"/>
        <v>MXN - Mora</v>
      </c>
      <c r="DT28" s="79">
        <v>0</v>
      </c>
      <c r="DU28" s="79">
        <v>0</v>
      </c>
      <c r="DV28" s="79">
        <v>0</v>
      </c>
      <c r="DW28" s="79">
        <v>0</v>
      </c>
      <c r="DX28" s="79">
        <v>0</v>
      </c>
      <c r="DY28" s="79">
        <v>0</v>
      </c>
      <c r="DZ28" s="79">
        <v>0</v>
      </c>
      <c r="EA28" s="79">
        <v>0</v>
      </c>
      <c r="EB28" s="79">
        <v>0</v>
      </c>
      <c r="EC28" s="79">
        <v>0</v>
      </c>
      <c r="ED28" s="79">
        <v>0</v>
      </c>
      <c r="EE28" s="79">
        <v>0</v>
      </c>
      <c r="EF28" s="66"/>
      <c r="EG28" s="76"/>
      <c r="EH28" s="78" t="str">
        <f t="shared" si="9"/>
        <v>MXN - Mora</v>
      </c>
      <c r="EI28" s="79">
        <v>0</v>
      </c>
      <c r="EJ28" s="79">
        <v>0</v>
      </c>
      <c r="EK28" s="79">
        <v>0</v>
      </c>
      <c r="EL28" s="79">
        <v>0</v>
      </c>
      <c r="EM28" s="79">
        <v>0</v>
      </c>
      <c r="EN28" s="79">
        <v>0</v>
      </c>
      <c r="EO28" s="79">
        <v>0</v>
      </c>
      <c r="EP28" s="79">
        <v>0</v>
      </c>
      <c r="EQ28" s="79">
        <v>0</v>
      </c>
      <c r="ER28" s="79">
        <v>0</v>
      </c>
      <c r="ES28" s="79">
        <v>0</v>
      </c>
      <c r="ET28" s="79">
        <v>0</v>
      </c>
      <c r="EU28" s="66"/>
      <c r="EV28" s="66"/>
      <c r="EW28" s="66"/>
      <c r="EX28" s="66"/>
      <c r="EY28" s="66"/>
      <c r="EZ28" s="66"/>
      <c r="FA28" s="66"/>
      <c r="FB28" s="66"/>
      <c r="FC28" s="66"/>
      <c r="FD28" s="66"/>
      <c r="FE28" s="66"/>
      <c r="FF28" s="66"/>
      <c r="FG28" s="66"/>
      <c r="FH28" s="66"/>
      <c r="FI28" s="66"/>
      <c r="FJ28" s="76"/>
      <c r="FK28" s="78" t="str">
        <f t="shared" si="10"/>
        <v>MXN - Mora</v>
      </c>
      <c r="FL28" s="79">
        <v>0</v>
      </c>
      <c r="FM28" s="79">
        <v>0</v>
      </c>
      <c r="FN28" s="79">
        <v>0</v>
      </c>
      <c r="FO28" s="79">
        <v>0</v>
      </c>
      <c r="FP28" s="79">
        <v>0</v>
      </c>
      <c r="FQ28" s="79">
        <v>0</v>
      </c>
      <c r="FR28" s="79">
        <v>0</v>
      </c>
      <c r="FS28" s="79">
        <v>0</v>
      </c>
      <c r="FT28" s="79">
        <v>0</v>
      </c>
      <c r="FU28" s="79">
        <v>0</v>
      </c>
      <c r="FV28" s="79">
        <v>0</v>
      </c>
      <c r="FW28" s="79">
        <v>0</v>
      </c>
      <c r="FX28" s="68"/>
      <c r="FY28" s="76"/>
      <c r="FZ28" s="78" t="str">
        <f t="shared" si="11"/>
        <v>MXN - Mora</v>
      </c>
      <c r="GA28" s="79" t="s">
        <v>338</v>
      </c>
      <c r="GB28" s="79" t="s">
        <v>338</v>
      </c>
      <c r="GC28" s="79" t="s">
        <v>338</v>
      </c>
      <c r="GD28" s="79" t="s">
        <v>338</v>
      </c>
      <c r="GE28" s="79" t="s">
        <v>338</v>
      </c>
      <c r="GF28" s="79" t="s">
        <v>338</v>
      </c>
      <c r="GG28" s="79" t="s">
        <v>338</v>
      </c>
      <c r="GH28" s="79" t="s">
        <v>338</v>
      </c>
      <c r="GI28" s="79" t="s">
        <v>338</v>
      </c>
      <c r="GJ28" s="79" t="s">
        <v>338</v>
      </c>
      <c r="GK28" s="79" t="s">
        <v>338</v>
      </c>
      <c r="GL28" s="79" t="s">
        <v>338</v>
      </c>
    </row>
    <row r="29" spans="1:194" ht="14.25" customHeight="1" x14ac:dyDescent="0.35">
      <c r="A29" s="65"/>
      <c r="B29" s="75"/>
      <c r="C29" s="76" t="s">
        <v>440</v>
      </c>
      <c r="D29" s="77">
        <v>-789821947.44530904</v>
      </c>
      <c r="E29" s="77">
        <v>221420170.57811475</v>
      </c>
      <c r="F29" s="77">
        <v>221420170.57811475</v>
      </c>
      <c r="G29" s="77">
        <v>221420170.57811475</v>
      </c>
      <c r="H29" s="77">
        <v>221420170.57811475</v>
      </c>
      <c r="I29" s="77">
        <v>221420170.57811475</v>
      </c>
      <c r="J29" s="77">
        <v>221420170.57811475</v>
      </c>
      <c r="K29" s="77">
        <v>221420170.57811475</v>
      </c>
      <c r="L29" s="77">
        <v>221420170.57811475</v>
      </c>
      <c r="M29" s="77">
        <v>221420170.57811475</v>
      </c>
      <c r="N29" s="77">
        <v>221420170.57811475</v>
      </c>
      <c r="O29" s="77">
        <v>221420170.57811475</v>
      </c>
      <c r="P29" s="66"/>
      <c r="Q29" s="66"/>
      <c r="R29" s="78" t="str">
        <f t="shared" si="1"/>
        <v>MXN - Coeficientes obligatorios</v>
      </c>
      <c r="S29" s="79">
        <v>0</v>
      </c>
      <c r="T29" s="79">
        <v>0</v>
      </c>
      <c r="U29" s="79">
        <v>0</v>
      </c>
      <c r="V29" s="79">
        <v>0</v>
      </c>
      <c r="W29" s="79">
        <v>0</v>
      </c>
      <c r="X29" s="79">
        <v>0</v>
      </c>
      <c r="Y29" s="79">
        <v>0</v>
      </c>
      <c r="Z29" s="79">
        <v>0</v>
      </c>
      <c r="AA29" s="79">
        <v>0</v>
      </c>
      <c r="AB29" s="79">
        <v>0</v>
      </c>
      <c r="AC29" s="79">
        <v>0</v>
      </c>
      <c r="AD29" s="79">
        <v>0</v>
      </c>
      <c r="AE29" s="66"/>
      <c r="AF29" s="75"/>
      <c r="AG29" s="78" t="str">
        <f t="shared" si="2"/>
        <v>MXN - Coeficientes obligatorios</v>
      </c>
      <c r="AH29" s="80">
        <v>0</v>
      </c>
      <c r="AI29" s="80">
        <v>0</v>
      </c>
      <c r="AJ29" s="80">
        <v>0</v>
      </c>
      <c r="AK29" s="80">
        <v>0</v>
      </c>
      <c r="AL29" s="80">
        <v>0</v>
      </c>
      <c r="AM29" s="80">
        <v>0</v>
      </c>
      <c r="AN29" s="80">
        <v>0</v>
      </c>
      <c r="AO29" s="80">
        <v>0</v>
      </c>
      <c r="AP29" s="80">
        <v>0</v>
      </c>
      <c r="AQ29" s="80">
        <v>0</v>
      </c>
      <c r="AR29" s="80">
        <v>0</v>
      </c>
      <c r="AS29" s="80">
        <v>0</v>
      </c>
      <c r="AT29" s="66"/>
      <c r="AU29" s="76"/>
      <c r="AV29" s="78" t="str">
        <f t="shared" si="3"/>
        <v>MXN - Coeficientes obligatorios</v>
      </c>
      <c r="AW29" s="80">
        <v>0</v>
      </c>
      <c r="AX29" s="80">
        <v>0</v>
      </c>
      <c r="AY29" s="80">
        <v>0</v>
      </c>
      <c r="AZ29" s="80">
        <v>0</v>
      </c>
      <c r="BA29" s="80">
        <v>0</v>
      </c>
      <c r="BB29" s="80">
        <v>0</v>
      </c>
      <c r="BC29" s="80">
        <v>0</v>
      </c>
      <c r="BD29" s="80">
        <v>0</v>
      </c>
      <c r="BE29" s="80">
        <v>0</v>
      </c>
      <c r="BF29" s="80">
        <v>0</v>
      </c>
      <c r="BG29" s="80">
        <v>0</v>
      </c>
      <c r="BH29" s="80">
        <v>0</v>
      </c>
      <c r="BI29" s="66"/>
      <c r="BJ29" s="76"/>
      <c r="BK29" s="78" t="str">
        <f t="shared" si="4"/>
        <v>MXN - Coeficientes obligatorios</v>
      </c>
      <c r="BL29" s="81" t="s">
        <v>338</v>
      </c>
      <c r="BM29" s="81" t="s">
        <v>338</v>
      </c>
      <c r="BN29" s="81" t="s">
        <v>338</v>
      </c>
      <c r="BO29" s="81" t="s">
        <v>338</v>
      </c>
      <c r="BP29" s="81" t="s">
        <v>338</v>
      </c>
      <c r="BQ29" s="81" t="s">
        <v>338</v>
      </c>
      <c r="BR29" s="81" t="s">
        <v>338</v>
      </c>
      <c r="BS29" s="81" t="s">
        <v>338</v>
      </c>
      <c r="BT29" s="81" t="s">
        <v>338</v>
      </c>
      <c r="BU29" s="81" t="s">
        <v>338</v>
      </c>
      <c r="BV29" s="81" t="s">
        <v>338</v>
      </c>
      <c r="BW29" s="81" t="s">
        <v>338</v>
      </c>
      <c r="BX29" s="66"/>
      <c r="BY29" s="76"/>
      <c r="BZ29" s="78" t="str">
        <f t="shared" si="5"/>
        <v>MXN - Coeficientes obligatorios</v>
      </c>
      <c r="CA29" s="79">
        <v>1</v>
      </c>
      <c r="CB29" s="79">
        <v>1</v>
      </c>
      <c r="CC29" s="79">
        <v>1</v>
      </c>
      <c r="CD29" s="79">
        <v>1</v>
      </c>
      <c r="CE29" s="79">
        <v>1</v>
      </c>
      <c r="CF29" s="79">
        <v>1</v>
      </c>
      <c r="CG29" s="79">
        <v>1</v>
      </c>
      <c r="CH29" s="79">
        <v>1</v>
      </c>
      <c r="CI29" s="79">
        <v>1</v>
      </c>
      <c r="CJ29" s="79">
        <v>1</v>
      </c>
      <c r="CK29" s="79">
        <v>1</v>
      </c>
      <c r="CL29" s="79">
        <v>1</v>
      </c>
      <c r="CM29" s="66"/>
      <c r="CN29" s="76"/>
      <c r="CO29" s="78" t="str">
        <f t="shared" si="6"/>
        <v>MXN - Coeficientes obligatorios</v>
      </c>
      <c r="CP29" s="79">
        <v>0</v>
      </c>
      <c r="CQ29" s="79">
        <v>0</v>
      </c>
      <c r="CR29" s="79">
        <v>0</v>
      </c>
      <c r="CS29" s="79">
        <v>0</v>
      </c>
      <c r="CT29" s="79">
        <v>0</v>
      </c>
      <c r="CU29" s="79">
        <v>0</v>
      </c>
      <c r="CV29" s="79">
        <v>0</v>
      </c>
      <c r="CW29" s="79">
        <v>0</v>
      </c>
      <c r="CX29" s="79">
        <v>0</v>
      </c>
      <c r="CY29" s="79">
        <v>0</v>
      </c>
      <c r="CZ29" s="79">
        <v>0</v>
      </c>
      <c r="DA29" s="79">
        <v>0</v>
      </c>
      <c r="DB29" s="66"/>
      <c r="DC29" s="66"/>
      <c r="DD29" s="78" t="str">
        <f t="shared" si="7"/>
        <v>MXN - Coeficientes obligatorios</v>
      </c>
      <c r="DE29" s="79">
        <v>0</v>
      </c>
      <c r="DF29" s="79">
        <v>0</v>
      </c>
      <c r="DG29" s="79">
        <v>0</v>
      </c>
      <c r="DH29" s="79">
        <v>0</v>
      </c>
      <c r="DI29" s="79">
        <v>0</v>
      </c>
      <c r="DJ29" s="79">
        <v>0</v>
      </c>
      <c r="DK29" s="79">
        <v>0</v>
      </c>
      <c r="DL29" s="79">
        <v>0</v>
      </c>
      <c r="DM29" s="79">
        <v>0</v>
      </c>
      <c r="DN29" s="79">
        <v>0</v>
      </c>
      <c r="DO29" s="79">
        <v>0</v>
      </c>
      <c r="DP29" s="79">
        <v>0</v>
      </c>
      <c r="DQ29" s="66"/>
      <c r="DR29" s="76"/>
      <c r="DS29" s="78" t="str">
        <f t="shared" si="8"/>
        <v>MXN - Coeficientes obligatorios</v>
      </c>
      <c r="DT29" s="79">
        <v>0</v>
      </c>
      <c r="DU29" s="79">
        <v>0</v>
      </c>
      <c r="DV29" s="79">
        <v>0</v>
      </c>
      <c r="DW29" s="79">
        <v>0</v>
      </c>
      <c r="DX29" s="79">
        <v>0</v>
      </c>
      <c r="DY29" s="79">
        <v>0</v>
      </c>
      <c r="DZ29" s="79">
        <v>0</v>
      </c>
      <c r="EA29" s="79">
        <v>0</v>
      </c>
      <c r="EB29" s="79">
        <v>0</v>
      </c>
      <c r="EC29" s="79">
        <v>0</v>
      </c>
      <c r="ED29" s="79">
        <v>0</v>
      </c>
      <c r="EE29" s="79">
        <v>0</v>
      </c>
      <c r="EF29" s="66"/>
      <c r="EG29" s="76"/>
      <c r="EH29" s="78" t="str">
        <f t="shared" si="9"/>
        <v>MXN - Coeficientes obligatorios</v>
      </c>
      <c r="EI29" s="79">
        <v>0</v>
      </c>
      <c r="EJ29" s="79">
        <v>0</v>
      </c>
      <c r="EK29" s="79">
        <v>0</v>
      </c>
      <c r="EL29" s="79">
        <v>0</v>
      </c>
      <c r="EM29" s="79">
        <v>0</v>
      </c>
      <c r="EN29" s="79">
        <v>0</v>
      </c>
      <c r="EO29" s="79">
        <v>0</v>
      </c>
      <c r="EP29" s="79">
        <v>0</v>
      </c>
      <c r="EQ29" s="79">
        <v>0</v>
      </c>
      <c r="ER29" s="79">
        <v>0</v>
      </c>
      <c r="ES29" s="79">
        <v>0</v>
      </c>
      <c r="ET29" s="79">
        <v>0</v>
      </c>
      <c r="EU29" s="66"/>
      <c r="EV29" s="66"/>
      <c r="EW29" s="66"/>
      <c r="EX29" s="66"/>
      <c r="EY29" s="66"/>
      <c r="EZ29" s="66"/>
      <c r="FA29" s="66"/>
      <c r="FB29" s="66"/>
      <c r="FC29" s="66"/>
      <c r="FD29" s="66"/>
      <c r="FE29" s="66"/>
      <c r="FF29" s="66"/>
      <c r="FG29" s="66"/>
      <c r="FH29" s="66"/>
      <c r="FI29" s="66"/>
      <c r="FJ29" s="76"/>
      <c r="FK29" s="78" t="str">
        <f t="shared" si="10"/>
        <v>MXN - Coeficientes obligatorios</v>
      </c>
      <c r="FL29" s="79">
        <v>0</v>
      </c>
      <c r="FM29" s="79">
        <v>0</v>
      </c>
      <c r="FN29" s="79">
        <v>0</v>
      </c>
      <c r="FO29" s="79">
        <v>0</v>
      </c>
      <c r="FP29" s="79">
        <v>0</v>
      </c>
      <c r="FQ29" s="79">
        <v>0</v>
      </c>
      <c r="FR29" s="79">
        <v>0</v>
      </c>
      <c r="FS29" s="79">
        <v>0</v>
      </c>
      <c r="FT29" s="79">
        <v>0</v>
      </c>
      <c r="FU29" s="79">
        <v>0</v>
      </c>
      <c r="FV29" s="79">
        <v>0</v>
      </c>
      <c r="FW29" s="79">
        <v>0</v>
      </c>
      <c r="FX29" s="68"/>
      <c r="FY29" s="76"/>
      <c r="FZ29" s="78" t="str">
        <f t="shared" si="11"/>
        <v>MXN - Coeficientes obligatorios</v>
      </c>
      <c r="GA29" s="79" t="s">
        <v>338</v>
      </c>
      <c r="GB29" s="79" t="s">
        <v>338</v>
      </c>
      <c r="GC29" s="79" t="s">
        <v>338</v>
      </c>
      <c r="GD29" s="79" t="s">
        <v>338</v>
      </c>
      <c r="GE29" s="79" t="s">
        <v>338</v>
      </c>
      <c r="GF29" s="79" t="s">
        <v>338</v>
      </c>
      <c r="GG29" s="79" t="s">
        <v>338</v>
      </c>
      <c r="GH29" s="79" t="s">
        <v>338</v>
      </c>
      <c r="GI29" s="79" t="s">
        <v>338</v>
      </c>
      <c r="GJ29" s="79" t="s">
        <v>338</v>
      </c>
      <c r="GK29" s="79" t="s">
        <v>338</v>
      </c>
      <c r="GL29" s="79" t="s">
        <v>338</v>
      </c>
    </row>
    <row r="30" spans="1:194" ht="14.25" customHeight="1" x14ac:dyDescent="0.35">
      <c r="A30" s="65"/>
      <c r="B30" s="75"/>
      <c r="C30" s="76" t="s">
        <v>441</v>
      </c>
      <c r="D30" s="77">
        <v>0</v>
      </c>
      <c r="E30" s="77">
        <v>0</v>
      </c>
      <c r="F30" s="77">
        <v>0</v>
      </c>
      <c r="G30" s="77">
        <v>0</v>
      </c>
      <c r="H30" s="77">
        <v>0</v>
      </c>
      <c r="I30" s="77">
        <v>0</v>
      </c>
      <c r="J30" s="77">
        <v>0</v>
      </c>
      <c r="K30" s="77">
        <v>0</v>
      </c>
      <c r="L30" s="77">
        <v>0</v>
      </c>
      <c r="M30" s="77">
        <v>0</v>
      </c>
      <c r="N30" s="77">
        <v>0</v>
      </c>
      <c r="O30" s="77">
        <v>0</v>
      </c>
      <c r="P30" s="66"/>
      <c r="Q30" s="66"/>
      <c r="R30" s="78" t="str">
        <f t="shared" si="1"/>
        <v>MXN - Inversion irregular Descubiertos</v>
      </c>
      <c r="S30" s="79">
        <v>0</v>
      </c>
      <c r="T30" s="79">
        <v>0</v>
      </c>
      <c r="U30" s="79">
        <v>0</v>
      </c>
      <c r="V30" s="79">
        <v>0</v>
      </c>
      <c r="W30" s="79">
        <v>0</v>
      </c>
      <c r="X30" s="79">
        <v>0</v>
      </c>
      <c r="Y30" s="79">
        <v>0</v>
      </c>
      <c r="Z30" s="79">
        <v>0</v>
      </c>
      <c r="AA30" s="79">
        <v>0</v>
      </c>
      <c r="AB30" s="79">
        <v>0</v>
      </c>
      <c r="AC30" s="79">
        <v>0</v>
      </c>
      <c r="AD30" s="79">
        <v>0</v>
      </c>
      <c r="AE30" s="66"/>
      <c r="AF30" s="75"/>
      <c r="AG30" s="78" t="str">
        <f t="shared" si="2"/>
        <v>MXN - Inversion irregular Descubiertos</v>
      </c>
      <c r="AH30" s="80">
        <v>0</v>
      </c>
      <c r="AI30" s="80">
        <v>0</v>
      </c>
      <c r="AJ30" s="80">
        <v>0</v>
      </c>
      <c r="AK30" s="80">
        <v>0</v>
      </c>
      <c r="AL30" s="80">
        <v>0</v>
      </c>
      <c r="AM30" s="80">
        <v>0</v>
      </c>
      <c r="AN30" s="80">
        <v>0</v>
      </c>
      <c r="AO30" s="80">
        <v>0</v>
      </c>
      <c r="AP30" s="80">
        <v>0</v>
      </c>
      <c r="AQ30" s="80">
        <v>0</v>
      </c>
      <c r="AR30" s="80">
        <v>0</v>
      </c>
      <c r="AS30" s="80">
        <v>0</v>
      </c>
      <c r="AT30" s="66"/>
      <c r="AU30" s="76"/>
      <c r="AV30" s="78" t="str">
        <f t="shared" si="3"/>
        <v>MXN - Inversion irregular Descubiertos</v>
      </c>
      <c r="AW30" s="80">
        <v>0</v>
      </c>
      <c r="AX30" s="80">
        <v>0</v>
      </c>
      <c r="AY30" s="80">
        <v>0</v>
      </c>
      <c r="AZ30" s="80">
        <v>0</v>
      </c>
      <c r="BA30" s="80">
        <v>0</v>
      </c>
      <c r="BB30" s="80">
        <v>0</v>
      </c>
      <c r="BC30" s="80">
        <v>0</v>
      </c>
      <c r="BD30" s="80">
        <v>0</v>
      </c>
      <c r="BE30" s="80">
        <v>0</v>
      </c>
      <c r="BF30" s="80">
        <v>0</v>
      </c>
      <c r="BG30" s="80">
        <v>0</v>
      </c>
      <c r="BH30" s="80">
        <v>0</v>
      </c>
      <c r="BI30" s="66"/>
      <c r="BJ30" s="76"/>
      <c r="BK30" s="78" t="str">
        <f t="shared" si="4"/>
        <v>MXN - Inversion irregular Descubiertos</v>
      </c>
      <c r="BL30" s="81" t="s">
        <v>338</v>
      </c>
      <c r="BM30" s="81" t="s">
        <v>338</v>
      </c>
      <c r="BN30" s="81" t="s">
        <v>338</v>
      </c>
      <c r="BO30" s="81" t="s">
        <v>338</v>
      </c>
      <c r="BP30" s="81" t="s">
        <v>338</v>
      </c>
      <c r="BQ30" s="81" t="s">
        <v>338</v>
      </c>
      <c r="BR30" s="81" t="s">
        <v>338</v>
      </c>
      <c r="BS30" s="81" t="s">
        <v>338</v>
      </c>
      <c r="BT30" s="81" t="s">
        <v>338</v>
      </c>
      <c r="BU30" s="81" t="s">
        <v>338</v>
      </c>
      <c r="BV30" s="81" t="s">
        <v>338</v>
      </c>
      <c r="BW30" s="81" t="s">
        <v>338</v>
      </c>
      <c r="BX30" s="66"/>
      <c r="BY30" s="76"/>
      <c r="BZ30" s="78" t="str">
        <f t="shared" si="5"/>
        <v>MXN - Inversion irregular Descubiertos</v>
      </c>
      <c r="CA30" s="79">
        <v>1</v>
      </c>
      <c r="CB30" s="79">
        <v>1</v>
      </c>
      <c r="CC30" s="79">
        <v>1</v>
      </c>
      <c r="CD30" s="79">
        <v>1</v>
      </c>
      <c r="CE30" s="79">
        <v>1</v>
      </c>
      <c r="CF30" s="79">
        <v>1</v>
      </c>
      <c r="CG30" s="79">
        <v>1</v>
      </c>
      <c r="CH30" s="79">
        <v>1</v>
      </c>
      <c r="CI30" s="79">
        <v>1</v>
      </c>
      <c r="CJ30" s="79">
        <v>1</v>
      </c>
      <c r="CK30" s="79">
        <v>1</v>
      </c>
      <c r="CL30" s="79">
        <v>1</v>
      </c>
      <c r="CM30" s="66"/>
      <c r="CN30" s="76"/>
      <c r="CO30" s="78" t="str">
        <f t="shared" si="6"/>
        <v>MXN - Inversion irregular Descubiertos</v>
      </c>
      <c r="CP30" s="79">
        <v>0</v>
      </c>
      <c r="CQ30" s="79">
        <v>0</v>
      </c>
      <c r="CR30" s="79">
        <v>0</v>
      </c>
      <c r="CS30" s="79">
        <v>0</v>
      </c>
      <c r="CT30" s="79">
        <v>0</v>
      </c>
      <c r="CU30" s="79">
        <v>0</v>
      </c>
      <c r="CV30" s="79">
        <v>0</v>
      </c>
      <c r="CW30" s="79">
        <v>0</v>
      </c>
      <c r="CX30" s="79">
        <v>0</v>
      </c>
      <c r="CY30" s="79">
        <v>0</v>
      </c>
      <c r="CZ30" s="79">
        <v>0</v>
      </c>
      <c r="DA30" s="79">
        <v>0</v>
      </c>
      <c r="DB30" s="66"/>
      <c r="DC30" s="66"/>
      <c r="DD30" s="78" t="str">
        <f t="shared" si="7"/>
        <v>MXN - Inversion irregular Descubiertos</v>
      </c>
      <c r="DE30" s="79">
        <v>0</v>
      </c>
      <c r="DF30" s="79">
        <v>0</v>
      </c>
      <c r="DG30" s="79">
        <v>0</v>
      </c>
      <c r="DH30" s="79">
        <v>0</v>
      </c>
      <c r="DI30" s="79">
        <v>0</v>
      </c>
      <c r="DJ30" s="79">
        <v>0</v>
      </c>
      <c r="DK30" s="79">
        <v>0</v>
      </c>
      <c r="DL30" s="79">
        <v>0</v>
      </c>
      <c r="DM30" s="79">
        <v>0</v>
      </c>
      <c r="DN30" s="79">
        <v>0</v>
      </c>
      <c r="DO30" s="79">
        <v>0</v>
      </c>
      <c r="DP30" s="79">
        <v>0</v>
      </c>
      <c r="DQ30" s="66"/>
      <c r="DR30" s="76"/>
      <c r="DS30" s="78" t="str">
        <f t="shared" si="8"/>
        <v>MXN - Inversion irregular Descubiertos</v>
      </c>
      <c r="DT30" s="79">
        <v>0</v>
      </c>
      <c r="DU30" s="79">
        <v>0</v>
      </c>
      <c r="DV30" s="79">
        <v>0</v>
      </c>
      <c r="DW30" s="79">
        <v>0</v>
      </c>
      <c r="DX30" s="79">
        <v>0</v>
      </c>
      <c r="DY30" s="79">
        <v>0</v>
      </c>
      <c r="DZ30" s="79">
        <v>0</v>
      </c>
      <c r="EA30" s="79">
        <v>0</v>
      </c>
      <c r="EB30" s="79">
        <v>0</v>
      </c>
      <c r="EC30" s="79">
        <v>0</v>
      </c>
      <c r="ED30" s="79">
        <v>0</v>
      </c>
      <c r="EE30" s="79">
        <v>0</v>
      </c>
      <c r="EF30" s="66"/>
      <c r="EG30" s="76"/>
      <c r="EH30" s="78" t="str">
        <f t="shared" si="9"/>
        <v>MXN - Inversion irregular Descubiertos</v>
      </c>
      <c r="EI30" s="79">
        <v>0</v>
      </c>
      <c r="EJ30" s="79">
        <v>0</v>
      </c>
      <c r="EK30" s="79">
        <v>0</v>
      </c>
      <c r="EL30" s="79">
        <v>0</v>
      </c>
      <c r="EM30" s="79">
        <v>0</v>
      </c>
      <c r="EN30" s="79">
        <v>0</v>
      </c>
      <c r="EO30" s="79">
        <v>0</v>
      </c>
      <c r="EP30" s="79">
        <v>0</v>
      </c>
      <c r="EQ30" s="79">
        <v>0</v>
      </c>
      <c r="ER30" s="79">
        <v>0</v>
      </c>
      <c r="ES30" s="79">
        <v>0</v>
      </c>
      <c r="ET30" s="79">
        <v>0</v>
      </c>
      <c r="EU30" s="66"/>
      <c r="EV30" s="66"/>
      <c r="EW30" s="66"/>
      <c r="EX30" s="66"/>
      <c r="EY30" s="66"/>
      <c r="EZ30" s="66"/>
      <c r="FA30" s="66"/>
      <c r="FB30" s="66"/>
      <c r="FC30" s="66"/>
      <c r="FD30" s="66"/>
      <c r="FE30" s="66"/>
      <c r="FF30" s="66"/>
      <c r="FG30" s="66"/>
      <c r="FH30" s="66"/>
      <c r="FI30" s="66"/>
      <c r="FJ30" s="76"/>
      <c r="FK30" s="78" t="str">
        <f t="shared" si="10"/>
        <v>MXN - Inversion irregular Descubiertos</v>
      </c>
      <c r="FL30" s="79">
        <v>0</v>
      </c>
      <c r="FM30" s="79">
        <v>0</v>
      </c>
      <c r="FN30" s="79">
        <v>0</v>
      </c>
      <c r="FO30" s="79">
        <v>0</v>
      </c>
      <c r="FP30" s="79">
        <v>0</v>
      </c>
      <c r="FQ30" s="79">
        <v>0</v>
      </c>
      <c r="FR30" s="79">
        <v>0</v>
      </c>
      <c r="FS30" s="79">
        <v>0</v>
      </c>
      <c r="FT30" s="79">
        <v>0</v>
      </c>
      <c r="FU30" s="79">
        <v>0</v>
      </c>
      <c r="FV30" s="79">
        <v>0</v>
      </c>
      <c r="FW30" s="79">
        <v>0</v>
      </c>
      <c r="FX30" s="68"/>
      <c r="FY30" s="76"/>
      <c r="FZ30" s="78" t="str">
        <f t="shared" si="11"/>
        <v>MXN - Inversion irregular Descubiertos</v>
      </c>
      <c r="GA30" s="79" t="s">
        <v>338</v>
      </c>
      <c r="GB30" s="79" t="s">
        <v>338</v>
      </c>
      <c r="GC30" s="79" t="s">
        <v>338</v>
      </c>
      <c r="GD30" s="79" t="s">
        <v>338</v>
      </c>
      <c r="GE30" s="79" t="s">
        <v>338</v>
      </c>
      <c r="GF30" s="79" t="s">
        <v>338</v>
      </c>
      <c r="GG30" s="79" t="s">
        <v>338</v>
      </c>
      <c r="GH30" s="79" t="s">
        <v>338</v>
      </c>
      <c r="GI30" s="79" t="s">
        <v>338</v>
      </c>
      <c r="GJ30" s="79" t="s">
        <v>338</v>
      </c>
      <c r="GK30" s="79" t="s">
        <v>338</v>
      </c>
      <c r="GL30" s="79" t="s">
        <v>338</v>
      </c>
    </row>
    <row r="31" spans="1:194" ht="14.25" customHeight="1" x14ac:dyDescent="0.35">
      <c r="A31" s="65"/>
      <c r="B31" s="75"/>
      <c r="C31" s="76" t="s">
        <v>442</v>
      </c>
      <c r="D31" s="77">
        <v>0</v>
      </c>
      <c r="E31" s="77">
        <v>0</v>
      </c>
      <c r="F31" s="77">
        <v>0</v>
      </c>
      <c r="G31" s="77">
        <v>0</v>
      </c>
      <c r="H31" s="77">
        <v>0</v>
      </c>
      <c r="I31" s="77">
        <v>0</v>
      </c>
      <c r="J31" s="77">
        <v>0</v>
      </c>
      <c r="K31" s="77">
        <v>0</v>
      </c>
      <c r="L31" s="77">
        <v>0</v>
      </c>
      <c r="M31" s="77">
        <v>0</v>
      </c>
      <c r="N31" s="77">
        <v>0</v>
      </c>
      <c r="O31" s="77">
        <v>0</v>
      </c>
      <c r="P31" s="66"/>
      <c r="Q31" s="66"/>
      <c r="R31" s="78" t="str">
        <f t="shared" si="1"/>
        <v>MXN - Cuenta de Cuadre Activo</v>
      </c>
      <c r="S31" s="79">
        <v>0</v>
      </c>
      <c r="T31" s="79">
        <v>0</v>
      </c>
      <c r="U31" s="79">
        <v>0</v>
      </c>
      <c r="V31" s="79">
        <v>0</v>
      </c>
      <c r="W31" s="79">
        <v>0</v>
      </c>
      <c r="X31" s="79">
        <v>0</v>
      </c>
      <c r="Y31" s="79">
        <v>0</v>
      </c>
      <c r="Z31" s="79">
        <v>0</v>
      </c>
      <c r="AA31" s="79">
        <v>0</v>
      </c>
      <c r="AB31" s="79">
        <v>0</v>
      </c>
      <c r="AC31" s="79">
        <v>0</v>
      </c>
      <c r="AD31" s="79">
        <v>0</v>
      </c>
      <c r="AE31" s="66"/>
      <c r="AF31" s="75"/>
      <c r="AG31" s="78" t="str">
        <f t="shared" si="2"/>
        <v>MXN - Cuenta de Cuadre Activo</v>
      </c>
      <c r="AH31" s="80">
        <v>0</v>
      </c>
      <c r="AI31" s="80">
        <v>0</v>
      </c>
      <c r="AJ31" s="80">
        <v>0</v>
      </c>
      <c r="AK31" s="80">
        <v>0</v>
      </c>
      <c r="AL31" s="80">
        <v>0</v>
      </c>
      <c r="AM31" s="80">
        <v>0</v>
      </c>
      <c r="AN31" s="80">
        <v>0</v>
      </c>
      <c r="AO31" s="80">
        <v>0</v>
      </c>
      <c r="AP31" s="80">
        <v>0</v>
      </c>
      <c r="AQ31" s="80">
        <v>0</v>
      </c>
      <c r="AR31" s="80">
        <v>0</v>
      </c>
      <c r="AS31" s="80">
        <v>0</v>
      </c>
      <c r="AT31" s="66"/>
      <c r="AU31" s="76"/>
      <c r="AV31" s="78" t="str">
        <f t="shared" si="3"/>
        <v>MXN - Cuenta de Cuadre Activo</v>
      </c>
      <c r="AW31" s="80">
        <v>0</v>
      </c>
      <c r="AX31" s="80">
        <v>0</v>
      </c>
      <c r="AY31" s="80">
        <v>0</v>
      </c>
      <c r="AZ31" s="80">
        <v>0</v>
      </c>
      <c r="BA31" s="80">
        <v>0</v>
      </c>
      <c r="BB31" s="80">
        <v>0</v>
      </c>
      <c r="BC31" s="80">
        <v>0</v>
      </c>
      <c r="BD31" s="80">
        <v>0</v>
      </c>
      <c r="BE31" s="80">
        <v>0</v>
      </c>
      <c r="BF31" s="80">
        <v>0</v>
      </c>
      <c r="BG31" s="80">
        <v>0</v>
      </c>
      <c r="BH31" s="80">
        <v>0</v>
      </c>
      <c r="BI31" s="66"/>
      <c r="BJ31" s="76"/>
      <c r="BK31" s="78" t="str">
        <f t="shared" si="4"/>
        <v>MXN - Cuenta de Cuadre Activo</v>
      </c>
      <c r="BL31" s="81" t="s">
        <v>338</v>
      </c>
      <c r="BM31" s="81" t="s">
        <v>338</v>
      </c>
      <c r="BN31" s="81" t="s">
        <v>338</v>
      </c>
      <c r="BO31" s="81" t="s">
        <v>338</v>
      </c>
      <c r="BP31" s="81" t="s">
        <v>338</v>
      </c>
      <c r="BQ31" s="81" t="s">
        <v>338</v>
      </c>
      <c r="BR31" s="81" t="s">
        <v>338</v>
      </c>
      <c r="BS31" s="81" t="s">
        <v>338</v>
      </c>
      <c r="BT31" s="81" t="s">
        <v>338</v>
      </c>
      <c r="BU31" s="81" t="s">
        <v>338</v>
      </c>
      <c r="BV31" s="81" t="s">
        <v>338</v>
      </c>
      <c r="BW31" s="81" t="s">
        <v>338</v>
      </c>
      <c r="BX31" s="66"/>
      <c r="BY31" s="76"/>
      <c r="BZ31" s="78" t="str">
        <f t="shared" si="5"/>
        <v>MXN - Cuenta de Cuadre Activo</v>
      </c>
      <c r="CA31" s="79">
        <v>1</v>
      </c>
      <c r="CB31" s="79">
        <v>1</v>
      </c>
      <c r="CC31" s="79">
        <v>1</v>
      </c>
      <c r="CD31" s="79">
        <v>1</v>
      </c>
      <c r="CE31" s="79">
        <v>1</v>
      </c>
      <c r="CF31" s="79">
        <v>1</v>
      </c>
      <c r="CG31" s="79">
        <v>1</v>
      </c>
      <c r="CH31" s="79">
        <v>1</v>
      </c>
      <c r="CI31" s="79">
        <v>1</v>
      </c>
      <c r="CJ31" s="79">
        <v>1</v>
      </c>
      <c r="CK31" s="79">
        <v>1</v>
      </c>
      <c r="CL31" s="79">
        <v>1</v>
      </c>
      <c r="CM31" s="66"/>
      <c r="CN31" s="76"/>
      <c r="CO31" s="78" t="str">
        <f t="shared" si="6"/>
        <v>MXN - Cuenta de Cuadre Activo</v>
      </c>
      <c r="CP31" s="79">
        <v>0</v>
      </c>
      <c r="CQ31" s="79">
        <v>0</v>
      </c>
      <c r="CR31" s="79">
        <v>0</v>
      </c>
      <c r="CS31" s="79">
        <v>0</v>
      </c>
      <c r="CT31" s="79">
        <v>0</v>
      </c>
      <c r="CU31" s="79">
        <v>0</v>
      </c>
      <c r="CV31" s="79">
        <v>0</v>
      </c>
      <c r="CW31" s="79">
        <v>0</v>
      </c>
      <c r="CX31" s="79">
        <v>0</v>
      </c>
      <c r="CY31" s="79">
        <v>0</v>
      </c>
      <c r="CZ31" s="79">
        <v>0</v>
      </c>
      <c r="DA31" s="79">
        <v>0</v>
      </c>
      <c r="DB31" s="66"/>
      <c r="DC31" s="66"/>
      <c r="DD31" s="78" t="str">
        <f t="shared" si="7"/>
        <v>MXN - Cuenta de Cuadre Activo</v>
      </c>
      <c r="DE31" s="79">
        <v>0</v>
      </c>
      <c r="DF31" s="79">
        <v>0</v>
      </c>
      <c r="DG31" s="79">
        <v>0</v>
      </c>
      <c r="DH31" s="79">
        <v>0</v>
      </c>
      <c r="DI31" s="79">
        <v>0</v>
      </c>
      <c r="DJ31" s="79">
        <v>0</v>
      </c>
      <c r="DK31" s="79">
        <v>0</v>
      </c>
      <c r="DL31" s="79">
        <v>0</v>
      </c>
      <c r="DM31" s="79">
        <v>0</v>
      </c>
      <c r="DN31" s="79">
        <v>0</v>
      </c>
      <c r="DO31" s="79">
        <v>0</v>
      </c>
      <c r="DP31" s="79">
        <v>0</v>
      </c>
      <c r="DQ31" s="66"/>
      <c r="DR31" s="76"/>
      <c r="DS31" s="78" t="str">
        <f t="shared" si="8"/>
        <v>MXN - Cuenta de Cuadre Activo</v>
      </c>
      <c r="DT31" s="79">
        <v>0</v>
      </c>
      <c r="DU31" s="79">
        <v>0</v>
      </c>
      <c r="DV31" s="79">
        <v>0</v>
      </c>
      <c r="DW31" s="79">
        <v>0</v>
      </c>
      <c r="DX31" s="79">
        <v>0</v>
      </c>
      <c r="DY31" s="79">
        <v>0</v>
      </c>
      <c r="DZ31" s="79">
        <v>0</v>
      </c>
      <c r="EA31" s="79">
        <v>0</v>
      </c>
      <c r="EB31" s="79">
        <v>0</v>
      </c>
      <c r="EC31" s="79">
        <v>0</v>
      </c>
      <c r="ED31" s="79">
        <v>0</v>
      </c>
      <c r="EE31" s="79">
        <v>0</v>
      </c>
      <c r="EF31" s="66"/>
      <c r="EG31" s="76"/>
      <c r="EH31" s="78" t="str">
        <f t="shared" si="9"/>
        <v>MXN - Cuenta de Cuadre Activo</v>
      </c>
      <c r="EI31" s="79">
        <v>0</v>
      </c>
      <c r="EJ31" s="79">
        <v>0</v>
      </c>
      <c r="EK31" s="79">
        <v>0</v>
      </c>
      <c r="EL31" s="79">
        <v>0</v>
      </c>
      <c r="EM31" s="79">
        <v>0</v>
      </c>
      <c r="EN31" s="79">
        <v>0</v>
      </c>
      <c r="EO31" s="79">
        <v>0</v>
      </c>
      <c r="EP31" s="79">
        <v>0</v>
      </c>
      <c r="EQ31" s="79">
        <v>0</v>
      </c>
      <c r="ER31" s="79">
        <v>0</v>
      </c>
      <c r="ES31" s="79">
        <v>0</v>
      </c>
      <c r="ET31" s="79">
        <v>0</v>
      </c>
      <c r="EU31" s="66"/>
      <c r="EV31" s="66"/>
      <c r="EW31" s="66"/>
      <c r="EX31" s="66"/>
      <c r="EY31" s="66"/>
      <c r="EZ31" s="66"/>
      <c r="FA31" s="66"/>
      <c r="FB31" s="66"/>
      <c r="FC31" s="66"/>
      <c r="FD31" s="66"/>
      <c r="FE31" s="66"/>
      <c r="FF31" s="66"/>
      <c r="FG31" s="66"/>
      <c r="FH31" s="66"/>
      <c r="FI31" s="66"/>
      <c r="FJ31" s="76"/>
      <c r="FK31" s="78" t="str">
        <f t="shared" si="10"/>
        <v>MXN - Cuenta de Cuadre Activo</v>
      </c>
      <c r="FL31" s="79">
        <v>0</v>
      </c>
      <c r="FM31" s="79">
        <v>0</v>
      </c>
      <c r="FN31" s="79">
        <v>0</v>
      </c>
      <c r="FO31" s="79">
        <v>0</v>
      </c>
      <c r="FP31" s="79">
        <v>0</v>
      </c>
      <c r="FQ31" s="79">
        <v>0</v>
      </c>
      <c r="FR31" s="79">
        <v>0</v>
      </c>
      <c r="FS31" s="79">
        <v>0</v>
      </c>
      <c r="FT31" s="79">
        <v>0</v>
      </c>
      <c r="FU31" s="79">
        <v>0</v>
      </c>
      <c r="FV31" s="79">
        <v>0</v>
      </c>
      <c r="FW31" s="79">
        <v>0</v>
      </c>
      <c r="FX31" s="68"/>
      <c r="FY31" s="76"/>
      <c r="FZ31" s="78" t="str">
        <f t="shared" si="11"/>
        <v>MXN - Cuenta de Cuadre Activo</v>
      </c>
      <c r="GA31" s="79" t="s">
        <v>338</v>
      </c>
      <c r="GB31" s="79" t="s">
        <v>338</v>
      </c>
      <c r="GC31" s="79" t="s">
        <v>338</v>
      </c>
      <c r="GD31" s="79" t="s">
        <v>338</v>
      </c>
      <c r="GE31" s="79" t="s">
        <v>338</v>
      </c>
      <c r="GF31" s="79" t="s">
        <v>338</v>
      </c>
      <c r="GG31" s="79" t="s">
        <v>338</v>
      </c>
      <c r="GH31" s="79" t="s">
        <v>338</v>
      </c>
      <c r="GI31" s="79" t="s">
        <v>338</v>
      </c>
      <c r="GJ31" s="79" t="s">
        <v>338</v>
      </c>
      <c r="GK31" s="79" t="s">
        <v>338</v>
      </c>
      <c r="GL31" s="79" t="s">
        <v>338</v>
      </c>
    </row>
    <row r="32" spans="1:194" ht="14.25" customHeight="1" x14ac:dyDescent="0.35">
      <c r="A32" s="65"/>
      <c r="B32" s="75"/>
      <c r="C32" s="76" t="s">
        <v>443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66"/>
      <c r="Q32" s="66"/>
      <c r="R32" s="78" t="str">
        <f t="shared" si="1"/>
        <v>MXN - Ctas.Plazo Entidades Financieras Pasivo</v>
      </c>
      <c r="S32" s="79">
        <v>0</v>
      </c>
      <c r="T32" s="79">
        <v>0</v>
      </c>
      <c r="U32" s="79">
        <v>0</v>
      </c>
      <c r="V32" s="79">
        <v>0</v>
      </c>
      <c r="W32" s="79">
        <v>0</v>
      </c>
      <c r="X32" s="79">
        <v>0</v>
      </c>
      <c r="Y32" s="79">
        <v>0</v>
      </c>
      <c r="Z32" s="79">
        <v>0</v>
      </c>
      <c r="AA32" s="79">
        <v>0</v>
      </c>
      <c r="AB32" s="79">
        <v>0</v>
      </c>
      <c r="AC32" s="79">
        <v>0</v>
      </c>
      <c r="AD32" s="79">
        <v>0</v>
      </c>
      <c r="AE32" s="66"/>
      <c r="AF32" s="75"/>
      <c r="AG32" s="78" t="str">
        <f t="shared" si="2"/>
        <v>MXN - Ctas.Plazo Entidades Financieras Pasivo</v>
      </c>
      <c r="AH32" s="80">
        <v>0</v>
      </c>
      <c r="AI32" s="80">
        <v>0</v>
      </c>
      <c r="AJ32" s="80">
        <v>0</v>
      </c>
      <c r="AK32" s="80">
        <v>0</v>
      </c>
      <c r="AL32" s="80">
        <v>0</v>
      </c>
      <c r="AM32" s="80">
        <v>0</v>
      </c>
      <c r="AN32" s="80">
        <v>0</v>
      </c>
      <c r="AO32" s="80">
        <v>0</v>
      </c>
      <c r="AP32" s="80">
        <v>0</v>
      </c>
      <c r="AQ32" s="80">
        <v>0</v>
      </c>
      <c r="AR32" s="80">
        <v>0</v>
      </c>
      <c r="AS32" s="80">
        <v>0</v>
      </c>
      <c r="AT32" s="66"/>
      <c r="AU32" s="76"/>
      <c r="AV32" s="78" t="str">
        <f t="shared" si="3"/>
        <v>MXN - Ctas.Plazo Entidades Financieras Pasivo</v>
      </c>
      <c r="AW32" s="80">
        <v>0</v>
      </c>
      <c r="AX32" s="80">
        <v>0</v>
      </c>
      <c r="AY32" s="80">
        <v>0</v>
      </c>
      <c r="AZ32" s="80">
        <v>0</v>
      </c>
      <c r="BA32" s="80">
        <v>0</v>
      </c>
      <c r="BB32" s="80">
        <v>0</v>
      </c>
      <c r="BC32" s="80">
        <v>0</v>
      </c>
      <c r="BD32" s="80">
        <v>0</v>
      </c>
      <c r="BE32" s="80">
        <v>0</v>
      </c>
      <c r="BF32" s="80">
        <v>0</v>
      </c>
      <c r="BG32" s="80">
        <v>0</v>
      </c>
      <c r="BH32" s="80">
        <v>0</v>
      </c>
      <c r="BI32" s="66"/>
      <c r="BJ32" s="76"/>
      <c r="BK32" s="78" t="str">
        <f t="shared" si="4"/>
        <v>MXN - Ctas.Plazo Entidades Financieras Pasivo</v>
      </c>
      <c r="BL32" s="81" t="s">
        <v>338</v>
      </c>
      <c r="BM32" s="81" t="s">
        <v>338</v>
      </c>
      <c r="BN32" s="81" t="s">
        <v>338</v>
      </c>
      <c r="BO32" s="81" t="s">
        <v>338</v>
      </c>
      <c r="BP32" s="81" t="s">
        <v>338</v>
      </c>
      <c r="BQ32" s="81" t="s">
        <v>338</v>
      </c>
      <c r="BR32" s="81" t="s">
        <v>338</v>
      </c>
      <c r="BS32" s="81" t="s">
        <v>338</v>
      </c>
      <c r="BT32" s="81" t="s">
        <v>338</v>
      </c>
      <c r="BU32" s="81" t="s">
        <v>338</v>
      </c>
      <c r="BV32" s="81" t="s">
        <v>338</v>
      </c>
      <c r="BW32" s="81" t="s">
        <v>338</v>
      </c>
      <c r="BX32" s="66"/>
      <c r="BY32" s="76"/>
      <c r="BZ32" s="78" t="str">
        <f t="shared" si="5"/>
        <v>MXN - Ctas.Plazo Entidades Financieras Pasivo</v>
      </c>
      <c r="CA32" s="79">
        <v>1</v>
      </c>
      <c r="CB32" s="79">
        <v>1</v>
      </c>
      <c r="CC32" s="79">
        <v>1</v>
      </c>
      <c r="CD32" s="79">
        <v>1</v>
      </c>
      <c r="CE32" s="79">
        <v>1</v>
      </c>
      <c r="CF32" s="79">
        <v>1</v>
      </c>
      <c r="CG32" s="79">
        <v>1</v>
      </c>
      <c r="CH32" s="79">
        <v>1</v>
      </c>
      <c r="CI32" s="79">
        <v>1</v>
      </c>
      <c r="CJ32" s="79">
        <v>1</v>
      </c>
      <c r="CK32" s="79">
        <v>1</v>
      </c>
      <c r="CL32" s="79">
        <v>1</v>
      </c>
      <c r="CM32" s="66"/>
      <c r="CN32" s="76"/>
      <c r="CO32" s="78" t="str">
        <f t="shared" si="6"/>
        <v>MXN - Ctas.Plazo Entidades Financieras Pasivo</v>
      </c>
      <c r="CP32" s="79">
        <v>0</v>
      </c>
      <c r="CQ32" s="79">
        <v>0</v>
      </c>
      <c r="CR32" s="79">
        <v>0</v>
      </c>
      <c r="CS32" s="79">
        <v>0</v>
      </c>
      <c r="CT32" s="79">
        <v>0</v>
      </c>
      <c r="CU32" s="79">
        <v>0</v>
      </c>
      <c r="CV32" s="79">
        <v>0</v>
      </c>
      <c r="CW32" s="79">
        <v>0</v>
      </c>
      <c r="CX32" s="79">
        <v>0</v>
      </c>
      <c r="CY32" s="79">
        <v>0</v>
      </c>
      <c r="CZ32" s="79">
        <v>0</v>
      </c>
      <c r="DA32" s="79">
        <v>0</v>
      </c>
      <c r="DB32" s="66"/>
      <c r="DC32" s="66"/>
      <c r="DD32" s="78" t="str">
        <f t="shared" si="7"/>
        <v>MXN - Ctas.Plazo Entidades Financieras Pasivo</v>
      </c>
      <c r="DE32" s="79">
        <v>0</v>
      </c>
      <c r="DF32" s="79">
        <v>0</v>
      </c>
      <c r="DG32" s="79">
        <v>0</v>
      </c>
      <c r="DH32" s="79">
        <v>0</v>
      </c>
      <c r="DI32" s="79">
        <v>0</v>
      </c>
      <c r="DJ32" s="79">
        <v>0</v>
      </c>
      <c r="DK32" s="79">
        <v>0</v>
      </c>
      <c r="DL32" s="79">
        <v>0</v>
      </c>
      <c r="DM32" s="79">
        <v>0</v>
      </c>
      <c r="DN32" s="79">
        <v>0</v>
      </c>
      <c r="DO32" s="79">
        <v>0</v>
      </c>
      <c r="DP32" s="79">
        <v>0</v>
      </c>
      <c r="DQ32" s="66"/>
      <c r="DR32" s="76"/>
      <c r="DS32" s="78" t="str">
        <f t="shared" si="8"/>
        <v>MXN - Ctas.Plazo Entidades Financieras Pasivo</v>
      </c>
      <c r="DT32" s="79">
        <v>0</v>
      </c>
      <c r="DU32" s="79">
        <v>0</v>
      </c>
      <c r="DV32" s="79">
        <v>0</v>
      </c>
      <c r="DW32" s="79">
        <v>0</v>
      </c>
      <c r="DX32" s="79">
        <v>0</v>
      </c>
      <c r="DY32" s="79">
        <v>0</v>
      </c>
      <c r="DZ32" s="79">
        <v>0</v>
      </c>
      <c r="EA32" s="79">
        <v>0</v>
      </c>
      <c r="EB32" s="79">
        <v>0</v>
      </c>
      <c r="EC32" s="79">
        <v>0</v>
      </c>
      <c r="ED32" s="79">
        <v>0</v>
      </c>
      <c r="EE32" s="79">
        <v>0</v>
      </c>
      <c r="EF32" s="66"/>
      <c r="EG32" s="76"/>
      <c r="EH32" s="78" t="str">
        <f t="shared" si="9"/>
        <v>MXN - Ctas.Plazo Entidades Financieras Pasivo</v>
      </c>
      <c r="EI32" s="79">
        <v>0</v>
      </c>
      <c r="EJ32" s="79">
        <v>0</v>
      </c>
      <c r="EK32" s="79">
        <v>0</v>
      </c>
      <c r="EL32" s="79">
        <v>0</v>
      </c>
      <c r="EM32" s="79">
        <v>0</v>
      </c>
      <c r="EN32" s="79">
        <v>0</v>
      </c>
      <c r="EO32" s="79">
        <v>0</v>
      </c>
      <c r="EP32" s="79">
        <v>0</v>
      </c>
      <c r="EQ32" s="79">
        <v>0</v>
      </c>
      <c r="ER32" s="79">
        <v>0</v>
      </c>
      <c r="ES32" s="79">
        <v>0</v>
      </c>
      <c r="ET32" s="79">
        <v>0</v>
      </c>
      <c r="EU32" s="66"/>
      <c r="EV32" s="66"/>
      <c r="EW32" s="66"/>
      <c r="EX32" s="66"/>
      <c r="EY32" s="66"/>
      <c r="EZ32" s="66"/>
      <c r="FA32" s="66"/>
      <c r="FB32" s="66"/>
      <c r="FC32" s="66"/>
      <c r="FD32" s="66"/>
      <c r="FE32" s="66"/>
      <c r="FF32" s="66"/>
      <c r="FG32" s="66"/>
      <c r="FH32" s="66"/>
      <c r="FI32" s="66"/>
      <c r="FJ32" s="76"/>
      <c r="FK32" s="78" t="str">
        <f t="shared" si="10"/>
        <v>MXN - Ctas.Plazo Entidades Financieras Pasivo</v>
      </c>
      <c r="FL32" s="79">
        <v>0</v>
      </c>
      <c r="FM32" s="79">
        <v>0</v>
      </c>
      <c r="FN32" s="79">
        <v>0</v>
      </c>
      <c r="FO32" s="79">
        <v>0</v>
      </c>
      <c r="FP32" s="79">
        <v>0</v>
      </c>
      <c r="FQ32" s="79">
        <v>0</v>
      </c>
      <c r="FR32" s="79">
        <v>0</v>
      </c>
      <c r="FS32" s="79">
        <v>0</v>
      </c>
      <c r="FT32" s="79">
        <v>0</v>
      </c>
      <c r="FU32" s="79">
        <v>0</v>
      </c>
      <c r="FV32" s="79">
        <v>0</v>
      </c>
      <c r="FW32" s="79">
        <v>0</v>
      </c>
      <c r="FX32" s="68"/>
      <c r="FY32" s="76"/>
      <c r="FZ32" s="78" t="str">
        <f t="shared" si="11"/>
        <v>MXN - Ctas.Plazo Entidades Financieras Pasivo</v>
      </c>
      <c r="GA32" s="79" t="s">
        <v>338</v>
      </c>
      <c r="GB32" s="79" t="s">
        <v>338</v>
      </c>
      <c r="GC32" s="79" t="s">
        <v>338</v>
      </c>
      <c r="GD32" s="79" t="s">
        <v>338</v>
      </c>
      <c r="GE32" s="79" t="s">
        <v>338</v>
      </c>
      <c r="GF32" s="79" t="s">
        <v>338</v>
      </c>
      <c r="GG32" s="79" t="s">
        <v>338</v>
      </c>
      <c r="GH32" s="79" t="s">
        <v>338</v>
      </c>
      <c r="GI32" s="79" t="s">
        <v>338</v>
      </c>
      <c r="GJ32" s="79" t="s">
        <v>338</v>
      </c>
      <c r="GK32" s="79" t="s">
        <v>338</v>
      </c>
      <c r="GL32" s="79" t="s">
        <v>338</v>
      </c>
    </row>
    <row r="33" spans="1:194" ht="14.25" customHeight="1" x14ac:dyDescent="0.35">
      <c r="A33" s="65"/>
      <c r="B33" s="75"/>
      <c r="C33" s="76" t="s">
        <v>444</v>
      </c>
      <c r="D33" s="77">
        <v>796375882.36867034</v>
      </c>
      <c r="E33" s="77">
        <v>-3624117.6313296892</v>
      </c>
      <c r="F33" s="77">
        <v>-3624117.6313296892</v>
      </c>
      <c r="G33" s="77">
        <v>-3624117.6313296892</v>
      </c>
      <c r="H33" s="77">
        <v>-3624117.6313296892</v>
      </c>
      <c r="I33" s="77">
        <v>-3624117.6313296892</v>
      </c>
      <c r="J33" s="77">
        <v>-3624117.6313296892</v>
      </c>
      <c r="K33" s="77">
        <v>-3624117.6313296892</v>
      </c>
      <c r="L33" s="77">
        <v>-3624117.6313296892</v>
      </c>
      <c r="M33" s="77">
        <v>-3624117.6313296892</v>
      </c>
      <c r="N33" s="77">
        <v>-3624117.6313296892</v>
      </c>
      <c r="O33" s="77">
        <v>-3624117.6313296892</v>
      </c>
      <c r="P33" s="66"/>
      <c r="Q33" s="66"/>
      <c r="R33" s="78" t="str">
        <f t="shared" si="1"/>
        <v>MXN - Cuentas corrientes</v>
      </c>
      <c r="S33" s="79">
        <v>0</v>
      </c>
      <c r="T33" s="79">
        <v>0</v>
      </c>
      <c r="U33" s="79">
        <v>0</v>
      </c>
      <c r="V33" s="79">
        <v>0</v>
      </c>
      <c r="W33" s="79">
        <v>0</v>
      </c>
      <c r="X33" s="79">
        <v>0</v>
      </c>
      <c r="Y33" s="79">
        <v>0</v>
      </c>
      <c r="Z33" s="79">
        <v>0</v>
      </c>
      <c r="AA33" s="79">
        <v>0</v>
      </c>
      <c r="AB33" s="79">
        <v>0</v>
      </c>
      <c r="AC33" s="79">
        <v>0</v>
      </c>
      <c r="AD33" s="79">
        <v>0</v>
      </c>
      <c r="AE33" s="66"/>
      <c r="AF33" s="75"/>
      <c r="AG33" s="78" t="str">
        <f t="shared" si="2"/>
        <v>MXN - Cuentas corrientes</v>
      </c>
      <c r="AH33" s="80">
        <v>0</v>
      </c>
      <c r="AI33" s="80">
        <v>0</v>
      </c>
      <c r="AJ33" s="80">
        <v>0</v>
      </c>
      <c r="AK33" s="80">
        <v>0</v>
      </c>
      <c r="AL33" s="80">
        <v>0</v>
      </c>
      <c r="AM33" s="80">
        <v>0</v>
      </c>
      <c r="AN33" s="80">
        <v>0</v>
      </c>
      <c r="AO33" s="80">
        <v>0</v>
      </c>
      <c r="AP33" s="80">
        <v>0</v>
      </c>
      <c r="AQ33" s="80">
        <v>0</v>
      </c>
      <c r="AR33" s="80">
        <v>0</v>
      </c>
      <c r="AS33" s="80">
        <v>0</v>
      </c>
      <c r="AT33" s="66"/>
      <c r="AU33" s="76"/>
      <c r="AV33" s="78" t="str">
        <f t="shared" si="3"/>
        <v>MXN - Cuentas corrientes</v>
      </c>
      <c r="AW33" s="80">
        <v>0</v>
      </c>
      <c r="AX33" s="80">
        <v>0</v>
      </c>
      <c r="AY33" s="80">
        <v>0</v>
      </c>
      <c r="AZ33" s="80">
        <v>0</v>
      </c>
      <c r="BA33" s="80">
        <v>0</v>
      </c>
      <c r="BB33" s="80">
        <v>0</v>
      </c>
      <c r="BC33" s="80">
        <v>0</v>
      </c>
      <c r="BD33" s="80">
        <v>0</v>
      </c>
      <c r="BE33" s="80">
        <v>0</v>
      </c>
      <c r="BF33" s="80">
        <v>0</v>
      </c>
      <c r="BG33" s="80">
        <v>0</v>
      </c>
      <c r="BH33" s="80">
        <v>0</v>
      </c>
      <c r="BI33" s="66"/>
      <c r="BJ33" s="76"/>
      <c r="BK33" s="78" t="str">
        <f t="shared" si="4"/>
        <v>MXN - Cuentas corrientes</v>
      </c>
      <c r="BL33" s="81" t="s">
        <v>338</v>
      </c>
      <c r="BM33" s="81" t="s">
        <v>338</v>
      </c>
      <c r="BN33" s="81" t="s">
        <v>338</v>
      </c>
      <c r="BO33" s="81" t="s">
        <v>338</v>
      </c>
      <c r="BP33" s="81" t="s">
        <v>338</v>
      </c>
      <c r="BQ33" s="81" t="s">
        <v>338</v>
      </c>
      <c r="BR33" s="81" t="s">
        <v>338</v>
      </c>
      <c r="BS33" s="81" t="s">
        <v>338</v>
      </c>
      <c r="BT33" s="81" t="s">
        <v>338</v>
      </c>
      <c r="BU33" s="81" t="s">
        <v>338</v>
      </c>
      <c r="BV33" s="81" t="s">
        <v>338</v>
      </c>
      <c r="BW33" s="81" t="s">
        <v>338</v>
      </c>
      <c r="BX33" s="66"/>
      <c r="BY33" s="76"/>
      <c r="BZ33" s="78" t="str">
        <f t="shared" si="5"/>
        <v>MXN - Cuentas corrientes</v>
      </c>
      <c r="CA33" s="79">
        <v>1</v>
      </c>
      <c r="CB33" s="79">
        <v>1</v>
      </c>
      <c r="CC33" s="79">
        <v>1</v>
      </c>
      <c r="CD33" s="79">
        <v>1</v>
      </c>
      <c r="CE33" s="79">
        <v>1</v>
      </c>
      <c r="CF33" s="79">
        <v>1</v>
      </c>
      <c r="CG33" s="79">
        <v>1</v>
      </c>
      <c r="CH33" s="79">
        <v>1</v>
      </c>
      <c r="CI33" s="79">
        <v>1</v>
      </c>
      <c r="CJ33" s="79">
        <v>1</v>
      </c>
      <c r="CK33" s="79">
        <v>1</v>
      </c>
      <c r="CL33" s="79">
        <v>1</v>
      </c>
      <c r="CM33" s="66"/>
      <c r="CN33" s="76"/>
      <c r="CO33" s="78" t="str">
        <f t="shared" si="6"/>
        <v>MXN - Cuentas corrientes</v>
      </c>
      <c r="CP33" s="79">
        <v>0</v>
      </c>
      <c r="CQ33" s="79">
        <v>0</v>
      </c>
      <c r="CR33" s="79">
        <v>0</v>
      </c>
      <c r="CS33" s="79">
        <v>0</v>
      </c>
      <c r="CT33" s="79">
        <v>0</v>
      </c>
      <c r="CU33" s="79">
        <v>0</v>
      </c>
      <c r="CV33" s="79">
        <v>0</v>
      </c>
      <c r="CW33" s="79">
        <v>0</v>
      </c>
      <c r="CX33" s="79">
        <v>0</v>
      </c>
      <c r="CY33" s="79">
        <v>0</v>
      </c>
      <c r="CZ33" s="79">
        <v>0</v>
      </c>
      <c r="DA33" s="79">
        <v>0</v>
      </c>
      <c r="DB33" s="66"/>
      <c r="DC33" s="66"/>
      <c r="DD33" s="78" t="str">
        <f t="shared" si="7"/>
        <v>MXN - Cuentas corrientes</v>
      </c>
      <c r="DE33" s="79">
        <v>0</v>
      </c>
      <c r="DF33" s="79">
        <v>0</v>
      </c>
      <c r="DG33" s="79">
        <v>0</v>
      </c>
      <c r="DH33" s="79">
        <v>0</v>
      </c>
      <c r="DI33" s="79">
        <v>0</v>
      </c>
      <c r="DJ33" s="79">
        <v>0</v>
      </c>
      <c r="DK33" s="79">
        <v>0</v>
      </c>
      <c r="DL33" s="79">
        <v>0</v>
      </c>
      <c r="DM33" s="79">
        <v>0</v>
      </c>
      <c r="DN33" s="79">
        <v>0</v>
      </c>
      <c r="DO33" s="79">
        <v>0</v>
      </c>
      <c r="DP33" s="79">
        <v>0</v>
      </c>
      <c r="DQ33" s="66"/>
      <c r="DR33" s="76"/>
      <c r="DS33" s="78" t="str">
        <f t="shared" si="8"/>
        <v>MXN - Cuentas corrientes</v>
      </c>
      <c r="DT33" s="79">
        <v>0</v>
      </c>
      <c r="DU33" s="79">
        <v>0</v>
      </c>
      <c r="DV33" s="79">
        <v>0</v>
      </c>
      <c r="DW33" s="79">
        <v>0</v>
      </c>
      <c r="DX33" s="79">
        <v>0</v>
      </c>
      <c r="DY33" s="79">
        <v>0</v>
      </c>
      <c r="DZ33" s="79">
        <v>0</v>
      </c>
      <c r="EA33" s="79">
        <v>0</v>
      </c>
      <c r="EB33" s="79">
        <v>0</v>
      </c>
      <c r="EC33" s="79">
        <v>0</v>
      </c>
      <c r="ED33" s="79">
        <v>0</v>
      </c>
      <c r="EE33" s="79">
        <v>0</v>
      </c>
      <c r="EF33" s="66"/>
      <c r="EG33" s="76"/>
      <c r="EH33" s="78" t="str">
        <f t="shared" si="9"/>
        <v>MXN - Cuentas corrientes</v>
      </c>
      <c r="EI33" s="79">
        <v>0</v>
      </c>
      <c r="EJ33" s="79">
        <v>0</v>
      </c>
      <c r="EK33" s="79">
        <v>0</v>
      </c>
      <c r="EL33" s="79">
        <v>0</v>
      </c>
      <c r="EM33" s="79">
        <v>0</v>
      </c>
      <c r="EN33" s="79">
        <v>0</v>
      </c>
      <c r="EO33" s="79">
        <v>0</v>
      </c>
      <c r="EP33" s="79">
        <v>0</v>
      </c>
      <c r="EQ33" s="79">
        <v>0</v>
      </c>
      <c r="ER33" s="79">
        <v>0</v>
      </c>
      <c r="ES33" s="79">
        <v>0</v>
      </c>
      <c r="ET33" s="79">
        <v>0</v>
      </c>
      <c r="EU33" s="66"/>
      <c r="EV33" s="66"/>
      <c r="EW33" s="66"/>
      <c r="EX33" s="66"/>
      <c r="EY33" s="66"/>
      <c r="EZ33" s="66"/>
      <c r="FA33" s="66"/>
      <c r="FB33" s="66"/>
      <c r="FC33" s="66"/>
      <c r="FD33" s="66"/>
      <c r="FE33" s="66"/>
      <c r="FF33" s="66"/>
      <c r="FG33" s="66"/>
      <c r="FH33" s="66"/>
      <c r="FI33" s="66"/>
      <c r="FJ33" s="76"/>
      <c r="FK33" s="78" t="str">
        <f t="shared" si="10"/>
        <v>MXN - Cuentas corrientes</v>
      </c>
      <c r="FL33" s="79">
        <v>0</v>
      </c>
      <c r="FM33" s="79">
        <v>0</v>
      </c>
      <c r="FN33" s="79">
        <v>0</v>
      </c>
      <c r="FO33" s="79">
        <v>0</v>
      </c>
      <c r="FP33" s="79">
        <v>0</v>
      </c>
      <c r="FQ33" s="79">
        <v>0</v>
      </c>
      <c r="FR33" s="79">
        <v>0</v>
      </c>
      <c r="FS33" s="79">
        <v>0</v>
      </c>
      <c r="FT33" s="79">
        <v>0</v>
      </c>
      <c r="FU33" s="79">
        <v>0</v>
      </c>
      <c r="FV33" s="79">
        <v>0</v>
      </c>
      <c r="FW33" s="79">
        <v>0</v>
      </c>
      <c r="FX33" s="68"/>
      <c r="FY33" s="76"/>
      <c r="FZ33" s="78" t="str">
        <f t="shared" si="11"/>
        <v>MXN - Cuentas corrientes</v>
      </c>
      <c r="GA33" s="79" t="s">
        <v>338</v>
      </c>
      <c r="GB33" s="79" t="s">
        <v>338</v>
      </c>
      <c r="GC33" s="79" t="s">
        <v>338</v>
      </c>
      <c r="GD33" s="79" t="s">
        <v>338</v>
      </c>
      <c r="GE33" s="79" t="s">
        <v>338</v>
      </c>
      <c r="GF33" s="79" t="s">
        <v>338</v>
      </c>
      <c r="GG33" s="79" t="s">
        <v>338</v>
      </c>
      <c r="GH33" s="79" t="s">
        <v>338</v>
      </c>
      <c r="GI33" s="79" t="s">
        <v>338</v>
      </c>
      <c r="GJ33" s="79" t="s">
        <v>338</v>
      </c>
      <c r="GK33" s="79" t="s">
        <v>338</v>
      </c>
      <c r="GL33" s="79" t="s">
        <v>338</v>
      </c>
    </row>
    <row r="34" spans="1:194" ht="14.25" customHeight="1" x14ac:dyDescent="0.35">
      <c r="A34" s="65"/>
      <c r="B34" s="75"/>
      <c r="C34" s="76" t="s">
        <v>445</v>
      </c>
      <c r="D34" s="77">
        <v>868170426.03684962</v>
      </c>
      <c r="E34" s="77">
        <v>-31829573.963150382</v>
      </c>
      <c r="F34" s="77">
        <v>-31829573.963150382</v>
      </c>
      <c r="G34" s="77">
        <v>-31829573.963150382</v>
      </c>
      <c r="H34" s="77">
        <v>-31829573.963150382</v>
      </c>
      <c r="I34" s="77">
        <v>-31829573.963150382</v>
      </c>
      <c r="J34" s="77">
        <v>-31829573.963150382</v>
      </c>
      <c r="K34" s="77">
        <v>-31829573.963150382</v>
      </c>
      <c r="L34" s="77">
        <v>-31829573.963150382</v>
      </c>
      <c r="M34" s="77">
        <v>-31829573.963150382</v>
      </c>
      <c r="N34" s="77">
        <v>-31829573.963150382</v>
      </c>
      <c r="O34" s="77">
        <v>-31829573.963150382</v>
      </c>
      <c r="P34" s="66"/>
      <c r="Q34" s="66"/>
      <c r="R34" s="78" t="str">
        <f t="shared" si="1"/>
        <v>MXN - Cuentas de ahorro</v>
      </c>
      <c r="S34" s="79">
        <v>0</v>
      </c>
      <c r="T34" s="79">
        <v>0</v>
      </c>
      <c r="U34" s="79">
        <v>0</v>
      </c>
      <c r="V34" s="79">
        <v>0</v>
      </c>
      <c r="W34" s="79">
        <v>0</v>
      </c>
      <c r="X34" s="79">
        <v>0</v>
      </c>
      <c r="Y34" s="79">
        <v>0</v>
      </c>
      <c r="Z34" s="79">
        <v>0</v>
      </c>
      <c r="AA34" s="79">
        <v>0</v>
      </c>
      <c r="AB34" s="79">
        <v>0</v>
      </c>
      <c r="AC34" s="79">
        <v>0</v>
      </c>
      <c r="AD34" s="79">
        <v>0</v>
      </c>
      <c r="AE34" s="66"/>
      <c r="AF34" s="75"/>
      <c r="AG34" s="78" t="str">
        <f t="shared" si="2"/>
        <v>MXN - Cuentas de ahorro</v>
      </c>
      <c r="AH34" s="80">
        <v>0</v>
      </c>
      <c r="AI34" s="80">
        <v>0</v>
      </c>
      <c r="AJ34" s="80">
        <v>0</v>
      </c>
      <c r="AK34" s="80">
        <v>0</v>
      </c>
      <c r="AL34" s="80">
        <v>0</v>
      </c>
      <c r="AM34" s="80">
        <v>0</v>
      </c>
      <c r="AN34" s="80">
        <v>0</v>
      </c>
      <c r="AO34" s="80">
        <v>0</v>
      </c>
      <c r="AP34" s="80">
        <v>0</v>
      </c>
      <c r="AQ34" s="80">
        <v>0</v>
      </c>
      <c r="AR34" s="80">
        <v>0</v>
      </c>
      <c r="AS34" s="80">
        <v>0</v>
      </c>
      <c r="AT34" s="66"/>
      <c r="AU34" s="76"/>
      <c r="AV34" s="78" t="str">
        <f t="shared" si="3"/>
        <v>MXN - Cuentas de ahorro</v>
      </c>
      <c r="AW34" s="80">
        <v>0</v>
      </c>
      <c r="AX34" s="80">
        <v>0</v>
      </c>
      <c r="AY34" s="80">
        <v>0</v>
      </c>
      <c r="AZ34" s="80">
        <v>0</v>
      </c>
      <c r="BA34" s="80">
        <v>0</v>
      </c>
      <c r="BB34" s="80">
        <v>0</v>
      </c>
      <c r="BC34" s="80">
        <v>0</v>
      </c>
      <c r="BD34" s="80">
        <v>0</v>
      </c>
      <c r="BE34" s="80">
        <v>0</v>
      </c>
      <c r="BF34" s="80">
        <v>0</v>
      </c>
      <c r="BG34" s="80">
        <v>0</v>
      </c>
      <c r="BH34" s="80">
        <v>0</v>
      </c>
      <c r="BI34" s="66"/>
      <c r="BJ34" s="76"/>
      <c r="BK34" s="78" t="str">
        <f t="shared" si="4"/>
        <v>MXN - Cuentas de ahorro</v>
      </c>
      <c r="BL34" s="81" t="s">
        <v>338</v>
      </c>
      <c r="BM34" s="81" t="s">
        <v>338</v>
      </c>
      <c r="BN34" s="81" t="s">
        <v>338</v>
      </c>
      <c r="BO34" s="81" t="s">
        <v>338</v>
      </c>
      <c r="BP34" s="81" t="s">
        <v>338</v>
      </c>
      <c r="BQ34" s="81" t="s">
        <v>338</v>
      </c>
      <c r="BR34" s="81" t="s">
        <v>338</v>
      </c>
      <c r="BS34" s="81" t="s">
        <v>338</v>
      </c>
      <c r="BT34" s="81" t="s">
        <v>338</v>
      </c>
      <c r="BU34" s="81" t="s">
        <v>338</v>
      </c>
      <c r="BV34" s="81" t="s">
        <v>338</v>
      </c>
      <c r="BW34" s="81" t="s">
        <v>338</v>
      </c>
      <c r="BX34" s="66"/>
      <c r="BY34" s="76"/>
      <c r="BZ34" s="78" t="str">
        <f t="shared" si="5"/>
        <v>MXN - Cuentas de ahorro</v>
      </c>
      <c r="CA34" s="79">
        <v>1</v>
      </c>
      <c r="CB34" s="79">
        <v>1</v>
      </c>
      <c r="CC34" s="79">
        <v>1</v>
      </c>
      <c r="CD34" s="79">
        <v>1</v>
      </c>
      <c r="CE34" s="79">
        <v>1</v>
      </c>
      <c r="CF34" s="79">
        <v>1</v>
      </c>
      <c r="CG34" s="79">
        <v>1</v>
      </c>
      <c r="CH34" s="79">
        <v>1</v>
      </c>
      <c r="CI34" s="79">
        <v>1</v>
      </c>
      <c r="CJ34" s="79">
        <v>1</v>
      </c>
      <c r="CK34" s="79">
        <v>1</v>
      </c>
      <c r="CL34" s="79">
        <v>1</v>
      </c>
      <c r="CM34" s="66"/>
      <c r="CN34" s="76"/>
      <c r="CO34" s="78" t="str">
        <f t="shared" si="6"/>
        <v>MXN - Cuentas de ahorro</v>
      </c>
      <c r="CP34" s="79">
        <v>0</v>
      </c>
      <c r="CQ34" s="79">
        <v>0</v>
      </c>
      <c r="CR34" s="79">
        <v>0</v>
      </c>
      <c r="CS34" s="79">
        <v>0</v>
      </c>
      <c r="CT34" s="79">
        <v>0</v>
      </c>
      <c r="CU34" s="79">
        <v>0</v>
      </c>
      <c r="CV34" s="79">
        <v>0</v>
      </c>
      <c r="CW34" s="79">
        <v>0</v>
      </c>
      <c r="CX34" s="79">
        <v>0</v>
      </c>
      <c r="CY34" s="79">
        <v>0</v>
      </c>
      <c r="CZ34" s="79">
        <v>0</v>
      </c>
      <c r="DA34" s="79">
        <v>0</v>
      </c>
      <c r="DB34" s="66"/>
      <c r="DC34" s="66"/>
      <c r="DD34" s="78" t="str">
        <f t="shared" si="7"/>
        <v>MXN - Cuentas de ahorro</v>
      </c>
      <c r="DE34" s="79">
        <v>0</v>
      </c>
      <c r="DF34" s="79">
        <v>0</v>
      </c>
      <c r="DG34" s="79">
        <v>0</v>
      </c>
      <c r="DH34" s="79">
        <v>0</v>
      </c>
      <c r="DI34" s="79">
        <v>0</v>
      </c>
      <c r="DJ34" s="79">
        <v>0</v>
      </c>
      <c r="DK34" s="79">
        <v>0</v>
      </c>
      <c r="DL34" s="79">
        <v>0</v>
      </c>
      <c r="DM34" s="79">
        <v>0</v>
      </c>
      <c r="DN34" s="79">
        <v>0</v>
      </c>
      <c r="DO34" s="79">
        <v>0</v>
      </c>
      <c r="DP34" s="79">
        <v>0</v>
      </c>
      <c r="DQ34" s="66"/>
      <c r="DR34" s="76"/>
      <c r="DS34" s="78" t="str">
        <f t="shared" si="8"/>
        <v>MXN - Cuentas de ahorro</v>
      </c>
      <c r="DT34" s="79">
        <v>0</v>
      </c>
      <c r="DU34" s="79">
        <v>0</v>
      </c>
      <c r="DV34" s="79">
        <v>0</v>
      </c>
      <c r="DW34" s="79">
        <v>0</v>
      </c>
      <c r="DX34" s="79">
        <v>0</v>
      </c>
      <c r="DY34" s="79">
        <v>0</v>
      </c>
      <c r="DZ34" s="79">
        <v>0</v>
      </c>
      <c r="EA34" s="79">
        <v>0</v>
      </c>
      <c r="EB34" s="79">
        <v>0</v>
      </c>
      <c r="EC34" s="79">
        <v>0</v>
      </c>
      <c r="ED34" s="79">
        <v>0</v>
      </c>
      <c r="EE34" s="79">
        <v>0</v>
      </c>
      <c r="EF34" s="66"/>
      <c r="EG34" s="76"/>
      <c r="EH34" s="78" t="str">
        <f t="shared" si="9"/>
        <v>MXN - Cuentas de ahorro</v>
      </c>
      <c r="EI34" s="79">
        <v>0</v>
      </c>
      <c r="EJ34" s="79">
        <v>0</v>
      </c>
      <c r="EK34" s="79">
        <v>0</v>
      </c>
      <c r="EL34" s="79">
        <v>0</v>
      </c>
      <c r="EM34" s="79">
        <v>0</v>
      </c>
      <c r="EN34" s="79">
        <v>0</v>
      </c>
      <c r="EO34" s="79">
        <v>0</v>
      </c>
      <c r="EP34" s="79">
        <v>0</v>
      </c>
      <c r="EQ34" s="79">
        <v>0</v>
      </c>
      <c r="ER34" s="79">
        <v>0</v>
      </c>
      <c r="ES34" s="79">
        <v>0</v>
      </c>
      <c r="ET34" s="79">
        <v>0</v>
      </c>
      <c r="EU34" s="66"/>
      <c r="EV34" s="66"/>
      <c r="EW34" s="66"/>
      <c r="EX34" s="66"/>
      <c r="EY34" s="66"/>
      <c r="EZ34" s="66"/>
      <c r="FA34" s="66"/>
      <c r="FB34" s="66"/>
      <c r="FC34" s="66"/>
      <c r="FD34" s="66"/>
      <c r="FE34" s="66"/>
      <c r="FF34" s="66"/>
      <c r="FG34" s="66"/>
      <c r="FH34" s="66"/>
      <c r="FI34" s="66"/>
      <c r="FJ34" s="76"/>
      <c r="FK34" s="78" t="str">
        <f t="shared" si="10"/>
        <v>MXN - Cuentas de ahorro</v>
      </c>
      <c r="FL34" s="79">
        <v>0</v>
      </c>
      <c r="FM34" s="79">
        <v>0</v>
      </c>
      <c r="FN34" s="79">
        <v>0</v>
      </c>
      <c r="FO34" s="79">
        <v>0</v>
      </c>
      <c r="FP34" s="79">
        <v>0</v>
      </c>
      <c r="FQ34" s="79">
        <v>0</v>
      </c>
      <c r="FR34" s="79">
        <v>0</v>
      </c>
      <c r="FS34" s="79">
        <v>0</v>
      </c>
      <c r="FT34" s="79">
        <v>0</v>
      </c>
      <c r="FU34" s="79">
        <v>0</v>
      </c>
      <c r="FV34" s="79">
        <v>0</v>
      </c>
      <c r="FW34" s="79">
        <v>0</v>
      </c>
      <c r="FX34" s="68"/>
      <c r="FY34" s="76"/>
      <c r="FZ34" s="78" t="str">
        <f t="shared" si="11"/>
        <v>MXN - Cuentas de ahorro</v>
      </c>
      <c r="GA34" s="79" t="s">
        <v>338</v>
      </c>
      <c r="GB34" s="79" t="s">
        <v>338</v>
      </c>
      <c r="GC34" s="79" t="s">
        <v>338</v>
      </c>
      <c r="GD34" s="79" t="s">
        <v>338</v>
      </c>
      <c r="GE34" s="79" t="s">
        <v>338</v>
      </c>
      <c r="GF34" s="79" t="s">
        <v>338</v>
      </c>
      <c r="GG34" s="79" t="s">
        <v>338</v>
      </c>
      <c r="GH34" s="79" t="s">
        <v>338</v>
      </c>
      <c r="GI34" s="79" t="s">
        <v>338</v>
      </c>
      <c r="GJ34" s="79" t="s">
        <v>338</v>
      </c>
      <c r="GK34" s="79" t="s">
        <v>338</v>
      </c>
      <c r="GL34" s="79" t="s">
        <v>338</v>
      </c>
    </row>
    <row r="35" spans="1:194" ht="14.25" customHeight="1" x14ac:dyDescent="0.35">
      <c r="A35" s="65"/>
      <c r="B35" s="75"/>
      <c r="C35" s="76" t="s">
        <v>446</v>
      </c>
      <c r="D35" s="77">
        <v>-114320925.87313104</v>
      </c>
      <c r="E35" s="77">
        <v>-114320925.87313102</v>
      </c>
      <c r="F35" s="77">
        <v>-114320925.87313102</v>
      </c>
      <c r="G35" s="77">
        <v>-114320925.87313102</v>
      </c>
      <c r="H35" s="77">
        <v>-114320925.87313102</v>
      </c>
      <c r="I35" s="77">
        <v>-114320925.87313102</v>
      </c>
      <c r="J35" s="77">
        <v>-114320925.87313102</v>
      </c>
      <c r="K35" s="77">
        <v>-114320925.87313102</v>
      </c>
      <c r="L35" s="77">
        <v>-114320925.87313102</v>
      </c>
      <c r="M35" s="77">
        <v>-114320925.87313102</v>
      </c>
      <c r="N35" s="77">
        <v>-114320925.87313102</v>
      </c>
      <c r="O35" s="77">
        <v>-114320925.87313102</v>
      </c>
      <c r="P35" s="66"/>
      <c r="Q35" s="66"/>
      <c r="R35" s="78" t="str">
        <f t="shared" si="1"/>
        <v>MXN - Imposiciones Negocio Fijo</v>
      </c>
      <c r="S35" s="79">
        <v>0</v>
      </c>
      <c r="T35" s="79">
        <v>0</v>
      </c>
      <c r="U35" s="79">
        <v>0</v>
      </c>
      <c r="V35" s="79">
        <v>0</v>
      </c>
      <c r="W35" s="79">
        <v>0</v>
      </c>
      <c r="X35" s="79">
        <v>0</v>
      </c>
      <c r="Y35" s="79">
        <v>0</v>
      </c>
      <c r="Z35" s="79">
        <v>0</v>
      </c>
      <c r="AA35" s="79">
        <v>0</v>
      </c>
      <c r="AB35" s="79">
        <v>0</v>
      </c>
      <c r="AC35" s="79">
        <v>0</v>
      </c>
      <c r="AD35" s="79">
        <v>0</v>
      </c>
      <c r="AE35" s="66"/>
      <c r="AF35" s="75"/>
      <c r="AG35" s="78" t="str">
        <f t="shared" si="2"/>
        <v>MXN - Imposiciones Negocio Fijo</v>
      </c>
      <c r="AH35" s="80">
        <v>-0.05</v>
      </c>
      <c r="AI35" s="80">
        <v>-0.05</v>
      </c>
      <c r="AJ35" s="80">
        <v>-0.05</v>
      </c>
      <c r="AK35" s="80">
        <v>-0.05</v>
      </c>
      <c r="AL35" s="80">
        <v>-0.05</v>
      </c>
      <c r="AM35" s="80">
        <v>-0.05</v>
      </c>
      <c r="AN35" s="80">
        <v>-0.05</v>
      </c>
      <c r="AO35" s="80">
        <v>-0.05</v>
      </c>
      <c r="AP35" s="80">
        <v>-0.05</v>
      </c>
      <c r="AQ35" s="80">
        <v>-0.05</v>
      </c>
      <c r="AR35" s="80">
        <v>-0.05</v>
      </c>
      <c r="AS35" s="80">
        <v>-0.05</v>
      </c>
      <c r="AT35" s="66"/>
      <c r="AU35" s="76"/>
      <c r="AV35" s="78" t="str">
        <f t="shared" si="3"/>
        <v>MXN - Imposiciones Negocio Fijo</v>
      </c>
      <c r="AW35" s="80">
        <v>0</v>
      </c>
      <c r="AX35" s="80">
        <v>0</v>
      </c>
      <c r="AY35" s="80">
        <v>0</v>
      </c>
      <c r="AZ35" s="80">
        <v>0</v>
      </c>
      <c r="BA35" s="80">
        <v>0</v>
      </c>
      <c r="BB35" s="80">
        <v>0</v>
      </c>
      <c r="BC35" s="80">
        <v>0</v>
      </c>
      <c r="BD35" s="80">
        <v>0</v>
      </c>
      <c r="BE35" s="80">
        <v>0</v>
      </c>
      <c r="BF35" s="80">
        <v>0</v>
      </c>
      <c r="BG35" s="80">
        <v>0</v>
      </c>
      <c r="BH35" s="80">
        <v>0</v>
      </c>
      <c r="BI35" s="66"/>
      <c r="BJ35" s="76"/>
      <c r="BK35" s="78" t="str">
        <f t="shared" si="4"/>
        <v>MXN - Imposiciones Negocio Fijo</v>
      </c>
      <c r="BL35" s="81" t="s">
        <v>338</v>
      </c>
      <c r="BM35" s="81" t="s">
        <v>338</v>
      </c>
      <c r="BN35" s="81" t="s">
        <v>338</v>
      </c>
      <c r="BO35" s="81" t="s">
        <v>338</v>
      </c>
      <c r="BP35" s="81" t="s">
        <v>338</v>
      </c>
      <c r="BQ35" s="81" t="s">
        <v>338</v>
      </c>
      <c r="BR35" s="81" t="s">
        <v>338</v>
      </c>
      <c r="BS35" s="81" t="s">
        <v>338</v>
      </c>
      <c r="BT35" s="81" t="s">
        <v>338</v>
      </c>
      <c r="BU35" s="81" t="s">
        <v>338</v>
      </c>
      <c r="BV35" s="81" t="s">
        <v>338</v>
      </c>
      <c r="BW35" s="81" t="s">
        <v>338</v>
      </c>
      <c r="BX35" s="66"/>
      <c r="BY35" s="76"/>
      <c r="BZ35" s="78" t="str">
        <f t="shared" si="5"/>
        <v>MXN - Imposiciones Negocio Fijo</v>
      </c>
      <c r="CA35" s="79">
        <v>1</v>
      </c>
      <c r="CB35" s="79">
        <v>1</v>
      </c>
      <c r="CC35" s="79">
        <v>1</v>
      </c>
      <c r="CD35" s="79">
        <v>1</v>
      </c>
      <c r="CE35" s="79">
        <v>1</v>
      </c>
      <c r="CF35" s="79">
        <v>1</v>
      </c>
      <c r="CG35" s="79">
        <v>1</v>
      </c>
      <c r="CH35" s="79">
        <v>1</v>
      </c>
      <c r="CI35" s="79">
        <v>1</v>
      </c>
      <c r="CJ35" s="79">
        <v>1</v>
      </c>
      <c r="CK35" s="79">
        <v>1</v>
      </c>
      <c r="CL35" s="79">
        <v>1</v>
      </c>
      <c r="CM35" s="66"/>
      <c r="CN35" s="76"/>
      <c r="CO35" s="78" t="str">
        <f t="shared" si="6"/>
        <v>MXN - Imposiciones Negocio Fijo</v>
      </c>
      <c r="CP35" s="79">
        <v>0</v>
      </c>
      <c r="CQ35" s="79">
        <v>0</v>
      </c>
      <c r="CR35" s="79">
        <v>0</v>
      </c>
      <c r="CS35" s="79">
        <v>0</v>
      </c>
      <c r="CT35" s="79">
        <v>0</v>
      </c>
      <c r="CU35" s="79">
        <v>0</v>
      </c>
      <c r="CV35" s="79">
        <v>0</v>
      </c>
      <c r="CW35" s="79">
        <v>0</v>
      </c>
      <c r="CX35" s="79">
        <v>0</v>
      </c>
      <c r="CY35" s="79">
        <v>0</v>
      </c>
      <c r="CZ35" s="79">
        <v>0</v>
      </c>
      <c r="DA35" s="79">
        <v>0</v>
      </c>
      <c r="DB35" s="66"/>
      <c r="DC35" s="66"/>
      <c r="DD35" s="78" t="str">
        <f t="shared" si="7"/>
        <v>MXN - Imposiciones Negocio Fijo</v>
      </c>
      <c r="DE35" s="79">
        <v>0</v>
      </c>
      <c r="DF35" s="79">
        <v>0</v>
      </c>
      <c r="DG35" s="79">
        <v>0</v>
      </c>
      <c r="DH35" s="79">
        <v>0</v>
      </c>
      <c r="DI35" s="79">
        <v>0</v>
      </c>
      <c r="DJ35" s="79">
        <v>0</v>
      </c>
      <c r="DK35" s="79">
        <v>0</v>
      </c>
      <c r="DL35" s="79">
        <v>0</v>
      </c>
      <c r="DM35" s="79">
        <v>0</v>
      </c>
      <c r="DN35" s="79">
        <v>0</v>
      </c>
      <c r="DO35" s="79">
        <v>0</v>
      </c>
      <c r="DP35" s="79">
        <v>0</v>
      </c>
      <c r="DQ35" s="66"/>
      <c r="DR35" s="76"/>
      <c r="DS35" s="78" t="str">
        <f t="shared" si="8"/>
        <v>MXN - Imposiciones Negocio Fijo</v>
      </c>
      <c r="DT35" s="79">
        <v>0</v>
      </c>
      <c r="DU35" s="79">
        <v>0</v>
      </c>
      <c r="DV35" s="79">
        <v>0</v>
      </c>
      <c r="DW35" s="79">
        <v>0</v>
      </c>
      <c r="DX35" s="79">
        <v>0</v>
      </c>
      <c r="DY35" s="79">
        <v>0</v>
      </c>
      <c r="DZ35" s="79">
        <v>0</v>
      </c>
      <c r="EA35" s="79">
        <v>0</v>
      </c>
      <c r="EB35" s="79">
        <v>0</v>
      </c>
      <c r="EC35" s="79">
        <v>0</v>
      </c>
      <c r="ED35" s="79">
        <v>0</v>
      </c>
      <c r="EE35" s="79">
        <v>0</v>
      </c>
      <c r="EF35" s="66"/>
      <c r="EG35" s="76"/>
      <c r="EH35" s="78" t="str">
        <f t="shared" si="9"/>
        <v>MXN - Imposiciones Negocio Fijo</v>
      </c>
      <c r="EI35" s="79">
        <v>0</v>
      </c>
      <c r="EJ35" s="79">
        <v>0</v>
      </c>
      <c r="EK35" s="79">
        <v>0</v>
      </c>
      <c r="EL35" s="79">
        <v>0</v>
      </c>
      <c r="EM35" s="79">
        <v>0</v>
      </c>
      <c r="EN35" s="79">
        <v>0</v>
      </c>
      <c r="EO35" s="79">
        <v>0</v>
      </c>
      <c r="EP35" s="79">
        <v>0</v>
      </c>
      <c r="EQ35" s="79">
        <v>0</v>
      </c>
      <c r="ER35" s="79">
        <v>0</v>
      </c>
      <c r="ES35" s="79">
        <v>0</v>
      </c>
      <c r="ET35" s="79">
        <v>0</v>
      </c>
      <c r="EU35" s="66"/>
      <c r="EV35" s="66"/>
      <c r="EW35" s="66"/>
      <c r="EX35" s="66"/>
      <c r="EY35" s="66"/>
      <c r="EZ35" s="66"/>
      <c r="FA35" s="66"/>
      <c r="FB35" s="66"/>
      <c r="FC35" s="66"/>
      <c r="FD35" s="66"/>
      <c r="FE35" s="66"/>
      <c r="FF35" s="66"/>
      <c r="FG35" s="66"/>
      <c r="FH35" s="66"/>
      <c r="FI35" s="66"/>
      <c r="FJ35" s="76"/>
      <c r="FK35" s="78" t="str">
        <f t="shared" si="10"/>
        <v>MXN - Imposiciones Negocio Fijo</v>
      </c>
      <c r="FL35" s="79">
        <v>0</v>
      </c>
      <c r="FM35" s="79">
        <v>0</v>
      </c>
      <c r="FN35" s="79">
        <v>0</v>
      </c>
      <c r="FO35" s="79">
        <v>0</v>
      </c>
      <c r="FP35" s="79">
        <v>0</v>
      </c>
      <c r="FQ35" s="79">
        <v>0</v>
      </c>
      <c r="FR35" s="79">
        <v>0</v>
      </c>
      <c r="FS35" s="79">
        <v>0</v>
      </c>
      <c r="FT35" s="79">
        <v>0</v>
      </c>
      <c r="FU35" s="79">
        <v>0</v>
      </c>
      <c r="FV35" s="79">
        <v>0</v>
      </c>
      <c r="FW35" s="79">
        <v>0</v>
      </c>
      <c r="FX35" s="68"/>
      <c r="FY35" s="76"/>
      <c r="FZ35" s="78" t="str">
        <f t="shared" si="11"/>
        <v>MXN - Imposiciones Negocio Fijo</v>
      </c>
      <c r="GA35" s="79" t="s">
        <v>338</v>
      </c>
      <c r="GB35" s="79" t="s">
        <v>338</v>
      </c>
      <c r="GC35" s="79" t="s">
        <v>338</v>
      </c>
      <c r="GD35" s="79" t="s">
        <v>338</v>
      </c>
      <c r="GE35" s="79" t="s">
        <v>338</v>
      </c>
      <c r="GF35" s="79" t="s">
        <v>338</v>
      </c>
      <c r="GG35" s="79" t="s">
        <v>338</v>
      </c>
      <c r="GH35" s="79" t="s">
        <v>338</v>
      </c>
      <c r="GI35" s="79" t="s">
        <v>338</v>
      </c>
      <c r="GJ35" s="79" t="s">
        <v>338</v>
      </c>
      <c r="GK35" s="79" t="s">
        <v>338</v>
      </c>
      <c r="GL35" s="79" t="s">
        <v>338</v>
      </c>
    </row>
    <row r="36" spans="1:194" ht="14.25" customHeight="1" x14ac:dyDescent="0.35">
      <c r="A36" s="65"/>
      <c r="B36" s="75"/>
      <c r="C36" s="76" t="s">
        <v>447</v>
      </c>
      <c r="D36" s="83">
        <v>0</v>
      </c>
      <c r="E36" s="83">
        <v>0</v>
      </c>
      <c r="F36" s="83">
        <v>0</v>
      </c>
      <c r="G36" s="83">
        <v>0</v>
      </c>
      <c r="H36" s="83">
        <v>0</v>
      </c>
      <c r="I36" s="83">
        <v>0</v>
      </c>
      <c r="J36" s="83">
        <v>0</v>
      </c>
      <c r="K36" s="83">
        <v>0</v>
      </c>
      <c r="L36" s="83">
        <v>0</v>
      </c>
      <c r="M36" s="83">
        <v>0</v>
      </c>
      <c r="N36" s="83">
        <v>0</v>
      </c>
      <c r="O36" s="83">
        <v>0</v>
      </c>
      <c r="P36" s="66"/>
      <c r="Q36" s="66"/>
      <c r="R36" s="78" t="str">
        <f t="shared" si="1"/>
        <v>MXN - Imposiciones Negocio Variable</v>
      </c>
      <c r="S36" s="79">
        <v>0</v>
      </c>
      <c r="T36" s="79">
        <v>0</v>
      </c>
      <c r="U36" s="79">
        <v>0</v>
      </c>
      <c r="V36" s="79">
        <v>0</v>
      </c>
      <c r="W36" s="79">
        <v>0</v>
      </c>
      <c r="X36" s="79">
        <v>0</v>
      </c>
      <c r="Y36" s="79">
        <v>0</v>
      </c>
      <c r="Z36" s="79">
        <v>0</v>
      </c>
      <c r="AA36" s="79">
        <v>0</v>
      </c>
      <c r="AB36" s="79">
        <v>0</v>
      </c>
      <c r="AC36" s="79">
        <v>0</v>
      </c>
      <c r="AD36" s="79">
        <v>0</v>
      </c>
      <c r="AE36" s="66"/>
      <c r="AF36" s="75"/>
      <c r="AG36" s="78" t="str">
        <f t="shared" si="2"/>
        <v>MXN - Imposiciones Negocio Variable</v>
      </c>
      <c r="AH36" s="80">
        <v>0</v>
      </c>
      <c r="AI36" s="80">
        <v>0</v>
      </c>
      <c r="AJ36" s="80">
        <v>0</v>
      </c>
      <c r="AK36" s="80">
        <v>0</v>
      </c>
      <c r="AL36" s="80">
        <v>0</v>
      </c>
      <c r="AM36" s="80">
        <v>0</v>
      </c>
      <c r="AN36" s="80">
        <v>0</v>
      </c>
      <c r="AO36" s="80">
        <v>0</v>
      </c>
      <c r="AP36" s="80">
        <v>0</v>
      </c>
      <c r="AQ36" s="80">
        <v>0</v>
      </c>
      <c r="AR36" s="80">
        <v>0</v>
      </c>
      <c r="AS36" s="80">
        <v>0</v>
      </c>
      <c r="AT36" s="66"/>
      <c r="AU36" s="76"/>
      <c r="AV36" s="78" t="str">
        <f t="shared" si="3"/>
        <v>MXN - Imposiciones Negocio Variable</v>
      </c>
      <c r="AW36" s="80">
        <v>0</v>
      </c>
      <c r="AX36" s="80">
        <v>0</v>
      </c>
      <c r="AY36" s="80">
        <v>0</v>
      </c>
      <c r="AZ36" s="80">
        <v>0</v>
      </c>
      <c r="BA36" s="80">
        <v>0</v>
      </c>
      <c r="BB36" s="80">
        <v>0</v>
      </c>
      <c r="BC36" s="80">
        <v>0</v>
      </c>
      <c r="BD36" s="80">
        <v>0</v>
      </c>
      <c r="BE36" s="80">
        <v>0</v>
      </c>
      <c r="BF36" s="80">
        <v>0</v>
      </c>
      <c r="BG36" s="80">
        <v>0</v>
      </c>
      <c r="BH36" s="80">
        <v>0</v>
      </c>
      <c r="BI36" s="66"/>
      <c r="BJ36" s="76"/>
      <c r="BK36" s="78" t="str">
        <f t="shared" si="4"/>
        <v>MXN - Imposiciones Negocio Variable</v>
      </c>
      <c r="BL36" s="81" t="s">
        <v>338</v>
      </c>
      <c r="BM36" s="81" t="s">
        <v>338</v>
      </c>
      <c r="BN36" s="81" t="s">
        <v>338</v>
      </c>
      <c r="BO36" s="81" t="s">
        <v>338</v>
      </c>
      <c r="BP36" s="81" t="s">
        <v>338</v>
      </c>
      <c r="BQ36" s="81" t="s">
        <v>338</v>
      </c>
      <c r="BR36" s="81" t="s">
        <v>338</v>
      </c>
      <c r="BS36" s="81" t="s">
        <v>338</v>
      </c>
      <c r="BT36" s="81" t="s">
        <v>338</v>
      </c>
      <c r="BU36" s="81" t="s">
        <v>338</v>
      </c>
      <c r="BV36" s="81" t="s">
        <v>338</v>
      </c>
      <c r="BW36" s="81" t="s">
        <v>338</v>
      </c>
      <c r="BX36" s="66"/>
      <c r="BY36" s="76"/>
      <c r="BZ36" s="78" t="str">
        <f t="shared" si="5"/>
        <v>MXN - Imposiciones Negocio Variable</v>
      </c>
      <c r="CA36" s="79">
        <v>1</v>
      </c>
      <c r="CB36" s="79">
        <v>1</v>
      </c>
      <c r="CC36" s="79">
        <v>1</v>
      </c>
      <c r="CD36" s="79">
        <v>1</v>
      </c>
      <c r="CE36" s="79">
        <v>1</v>
      </c>
      <c r="CF36" s="79">
        <v>1</v>
      </c>
      <c r="CG36" s="79">
        <v>1</v>
      </c>
      <c r="CH36" s="79">
        <v>1</v>
      </c>
      <c r="CI36" s="79">
        <v>1</v>
      </c>
      <c r="CJ36" s="79">
        <v>1</v>
      </c>
      <c r="CK36" s="79">
        <v>1</v>
      </c>
      <c r="CL36" s="79">
        <v>1</v>
      </c>
      <c r="CM36" s="66"/>
      <c r="CN36" s="76"/>
      <c r="CO36" s="78" t="str">
        <f t="shared" si="6"/>
        <v>MXN - Imposiciones Negocio Variable</v>
      </c>
      <c r="CP36" s="79">
        <v>0</v>
      </c>
      <c r="CQ36" s="79">
        <v>0</v>
      </c>
      <c r="CR36" s="79">
        <v>0</v>
      </c>
      <c r="CS36" s="79">
        <v>0</v>
      </c>
      <c r="CT36" s="79">
        <v>0</v>
      </c>
      <c r="CU36" s="79">
        <v>0</v>
      </c>
      <c r="CV36" s="79">
        <v>0</v>
      </c>
      <c r="CW36" s="79">
        <v>0</v>
      </c>
      <c r="CX36" s="79">
        <v>0</v>
      </c>
      <c r="CY36" s="79">
        <v>0</v>
      </c>
      <c r="CZ36" s="79">
        <v>0</v>
      </c>
      <c r="DA36" s="79">
        <v>0</v>
      </c>
      <c r="DB36" s="66"/>
      <c r="DC36" s="66"/>
      <c r="DD36" s="78" t="str">
        <f t="shared" si="7"/>
        <v>MXN - Imposiciones Negocio Variable</v>
      </c>
      <c r="DE36" s="79">
        <v>0</v>
      </c>
      <c r="DF36" s="79">
        <v>0</v>
      </c>
      <c r="DG36" s="79">
        <v>0</v>
      </c>
      <c r="DH36" s="79">
        <v>0</v>
      </c>
      <c r="DI36" s="79">
        <v>0</v>
      </c>
      <c r="DJ36" s="79">
        <v>0</v>
      </c>
      <c r="DK36" s="79">
        <v>0</v>
      </c>
      <c r="DL36" s="79">
        <v>0</v>
      </c>
      <c r="DM36" s="79">
        <v>0</v>
      </c>
      <c r="DN36" s="79">
        <v>0</v>
      </c>
      <c r="DO36" s="79">
        <v>0</v>
      </c>
      <c r="DP36" s="79">
        <v>0</v>
      </c>
      <c r="DQ36" s="66"/>
      <c r="DR36" s="76"/>
      <c r="DS36" s="78" t="str">
        <f t="shared" si="8"/>
        <v>MXN - Imposiciones Negocio Variable</v>
      </c>
      <c r="DT36" s="79">
        <v>0</v>
      </c>
      <c r="DU36" s="79">
        <v>0</v>
      </c>
      <c r="DV36" s="79">
        <v>0</v>
      </c>
      <c r="DW36" s="79">
        <v>0</v>
      </c>
      <c r="DX36" s="79">
        <v>0</v>
      </c>
      <c r="DY36" s="79">
        <v>0</v>
      </c>
      <c r="DZ36" s="79">
        <v>0</v>
      </c>
      <c r="EA36" s="79">
        <v>0</v>
      </c>
      <c r="EB36" s="79">
        <v>0</v>
      </c>
      <c r="EC36" s="79">
        <v>0</v>
      </c>
      <c r="ED36" s="79">
        <v>0</v>
      </c>
      <c r="EE36" s="79">
        <v>0</v>
      </c>
      <c r="EF36" s="66"/>
      <c r="EG36" s="76"/>
      <c r="EH36" s="78" t="str">
        <f t="shared" si="9"/>
        <v>MXN - Imposiciones Negocio Variable</v>
      </c>
      <c r="EI36" s="79">
        <v>0</v>
      </c>
      <c r="EJ36" s="79">
        <v>0</v>
      </c>
      <c r="EK36" s="79">
        <v>0</v>
      </c>
      <c r="EL36" s="79">
        <v>0</v>
      </c>
      <c r="EM36" s="79">
        <v>0</v>
      </c>
      <c r="EN36" s="79">
        <v>0</v>
      </c>
      <c r="EO36" s="79">
        <v>0</v>
      </c>
      <c r="EP36" s="79">
        <v>0</v>
      </c>
      <c r="EQ36" s="79">
        <v>0</v>
      </c>
      <c r="ER36" s="79">
        <v>0</v>
      </c>
      <c r="ES36" s="79">
        <v>0</v>
      </c>
      <c r="ET36" s="79">
        <v>0</v>
      </c>
      <c r="EU36" s="66"/>
      <c r="EV36" s="66"/>
      <c r="EW36" s="66"/>
      <c r="EX36" s="66"/>
      <c r="EY36" s="66"/>
      <c r="EZ36" s="66"/>
      <c r="FA36" s="66"/>
      <c r="FB36" s="66"/>
      <c r="FC36" s="66"/>
      <c r="FD36" s="66"/>
      <c r="FE36" s="66"/>
      <c r="FF36" s="66"/>
      <c r="FG36" s="66"/>
      <c r="FH36" s="66"/>
      <c r="FI36" s="66"/>
      <c r="FJ36" s="76"/>
      <c r="FK36" s="78" t="str">
        <f t="shared" si="10"/>
        <v>MXN - Imposiciones Negocio Variable</v>
      </c>
      <c r="FL36" s="79">
        <v>0</v>
      </c>
      <c r="FM36" s="79">
        <v>0</v>
      </c>
      <c r="FN36" s="79">
        <v>0</v>
      </c>
      <c r="FO36" s="79">
        <v>0</v>
      </c>
      <c r="FP36" s="79">
        <v>0</v>
      </c>
      <c r="FQ36" s="79">
        <v>0</v>
      </c>
      <c r="FR36" s="79">
        <v>0</v>
      </c>
      <c r="FS36" s="79">
        <v>0</v>
      </c>
      <c r="FT36" s="79">
        <v>0</v>
      </c>
      <c r="FU36" s="79">
        <v>0</v>
      </c>
      <c r="FV36" s="79">
        <v>0</v>
      </c>
      <c r="FW36" s="79">
        <v>0</v>
      </c>
      <c r="FX36" s="68"/>
      <c r="FY36" s="76"/>
      <c r="FZ36" s="78" t="str">
        <f t="shared" si="11"/>
        <v>MXN - Imposiciones Negocio Variable</v>
      </c>
      <c r="GA36" s="79" t="s">
        <v>338</v>
      </c>
      <c r="GB36" s="79" t="s">
        <v>338</v>
      </c>
      <c r="GC36" s="79" t="s">
        <v>338</v>
      </c>
      <c r="GD36" s="79" t="s">
        <v>338</v>
      </c>
      <c r="GE36" s="79" t="s">
        <v>338</v>
      </c>
      <c r="GF36" s="79" t="s">
        <v>338</v>
      </c>
      <c r="GG36" s="79" t="s">
        <v>338</v>
      </c>
      <c r="GH36" s="79" t="s">
        <v>338</v>
      </c>
      <c r="GI36" s="79" t="s">
        <v>338</v>
      </c>
      <c r="GJ36" s="79" t="s">
        <v>338</v>
      </c>
      <c r="GK36" s="79" t="s">
        <v>338</v>
      </c>
      <c r="GL36" s="79" t="s">
        <v>338</v>
      </c>
    </row>
    <row r="37" spans="1:194" ht="14.25" customHeight="1" x14ac:dyDescent="0.35">
      <c r="A37" s="65"/>
      <c r="B37" s="75"/>
      <c r="C37" s="76" t="s">
        <v>448</v>
      </c>
      <c r="D37" s="83">
        <v>0</v>
      </c>
      <c r="E37" s="83">
        <v>0</v>
      </c>
      <c r="F37" s="83">
        <v>0</v>
      </c>
      <c r="G37" s="83">
        <v>0</v>
      </c>
      <c r="H37" s="83">
        <v>0</v>
      </c>
      <c r="I37" s="83">
        <v>0</v>
      </c>
      <c r="J37" s="83">
        <v>0</v>
      </c>
      <c r="K37" s="83">
        <v>0</v>
      </c>
      <c r="L37" s="83">
        <v>0</v>
      </c>
      <c r="M37" s="83">
        <v>0</v>
      </c>
      <c r="N37" s="83">
        <v>0</v>
      </c>
      <c r="O37" s="83">
        <v>0</v>
      </c>
      <c r="P37" s="66"/>
      <c r="Q37" s="66"/>
      <c r="R37" s="78" t="str">
        <f t="shared" si="1"/>
        <v>MXN - Otros vista</v>
      </c>
      <c r="S37" s="79">
        <v>0</v>
      </c>
      <c r="T37" s="79">
        <v>0</v>
      </c>
      <c r="U37" s="79">
        <v>0</v>
      </c>
      <c r="V37" s="79">
        <v>0</v>
      </c>
      <c r="W37" s="79">
        <v>0</v>
      </c>
      <c r="X37" s="79">
        <v>0</v>
      </c>
      <c r="Y37" s="79">
        <v>0</v>
      </c>
      <c r="Z37" s="79">
        <v>0</v>
      </c>
      <c r="AA37" s="79">
        <v>0</v>
      </c>
      <c r="AB37" s="79">
        <v>0</v>
      </c>
      <c r="AC37" s="79">
        <v>0</v>
      </c>
      <c r="AD37" s="79">
        <v>0</v>
      </c>
      <c r="AE37" s="66"/>
      <c r="AF37" s="75"/>
      <c r="AG37" s="78" t="str">
        <f t="shared" si="2"/>
        <v>MXN - Otros vista</v>
      </c>
      <c r="AH37" s="80">
        <v>0</v>
      </c>
      <c r="AI37" s="80">
        <v>0</v>
      </c>
      <c r="AJ37" s="80">
        <v>0</v>
      </c>
      <c r="AK37" s="80">
        <v>0</v>
      </c>
      <c r="AL37" s="80">
        <v>0</v>
      </c>
      <c r="AM37" s="80">
        <v>0</v>
      </c>
      <c r="AN37" s="80">
        <v>0</v>
      </c>
      <c r="AO37" s="80">
        <v>0</v>
      </c>
      <c r="AP37" s="80">
        <v>0</v>
      </c>
      <c r="AQ37" s="80">
        <v>0</v>
      </c>
      <c r="AR37" s="80">
        <v>0</v>
      </c>
      <c r="AS37" s="80">
        <v>0</v>
      </c>
      <c r="AT37" s="66"/>
      <c r="AU37" s="76"/>
      <c r="AV37" s="78" t="str">
        <f t="shared" si="3"/>
        <v>MXN - Otros vista</v>
      </c>
      <c r="AW37" s="80">
        <v>0</v>
      </c>
      <c r="AX37" s="80">
        <v>0</v>
      </c>
      <c r="AY37" s="80">
        <v>0</v>
      </c>
      <c r="AZ37" s="80">
        <v>0</v>
      </c>
      <c r="BA37" s="80">
        <v>0</v>
      </c>
      <c r="BB37" s="80">
        <v>0</v>
      </c>
      <c r="BC37" s="80">
        <v>0</v>
      </c>
      <c r="BD37" s="80">
        <v>0</v>
      </c>
      <c r="BE37" s="80">
        <v>0</v>
      </c>
      <c r="BF37" s="80">
        <v>0</v>
      </c>
      <c r="BG37" s="80">
        <v>0</v>
      </c>
      <c r="BH37" s="80">
        <v>0</v>
      </c>
      <c r="BI37" s="66"/>
      <c r="BJ37" s="76"/>
      <c r="BK37" s="78" t="str">
        <f t="shared" si="4"/>
        <v>MXN - Otros vista</v>
      </c>
      <c r="BL37" s="81" t="s">
        <v>338</v>
      </c>
      <c r="BM37" s="81" t="s">
        <v>338</v>
      </c>
      <c r="BN37" s="81" t="s">
        <v>338</v>
      </c>
      <c r="BO37" s="81" t="s">
        <v>338</v>
      </c>
      <c r="BP37" s="81" t="s">
        <v>338</v>
      </c>
      <c r="BQ37" s="81" t="s">
        <v>338</v>
      </c>
      <c r="BR37" s="81" t="s">
        <v>338</v>
      </c>
      <c r="BS37" s="81" t="s">
        <v>338</v>
      </c>
      <c r="BT37" s="81" t="s">
        <v>338</v>
      </c>
      <c r="BU37" s="81" t="s">
        <v>338</v>
      </c>
      <c r="BV37" s="81" t="s">
        <v>338</v>
      </c>
      <c r="BW37" s="81" t="s">
        <v>338</v>
      </c>
      <c r="BX37" s="66"/>
      <c r="BY37" s="76"/>
      <c r="BZ37" s="78" t="str">
        <f t="shared" si="5"/>
        <v>MXN - Otros vista</v>
      </c>
      <c r="CA37" s="79">
        <v>1</v>
      </c>
      <c r="CB37" s="79">
        <v>1</v>
      </c>
      <c r="CC37" s="79">
        <v>1</v>
      </c>
      <c r="CD37" s="79">
        <v>1</v>
      </c>
      <c r="CE37" s="79">
        <v>1</v>
      </c>
      <c r="CF37" s="79">
        <v>1</v>
      </c>
      <c r="CG37" s="79">
        <v>1</v>
      </c>
      <c r="CH37" s="79">
        <v>1</v>
      </c>
      <c r="CI37" s="79">
        <v>1</v>
      </c>
      <c r="CJ37" s="79">
        <v>1</v>
      </c>
      <c r="CK37" s="79">
        <v>1</v>
      </c>
      <c r="CL37" s="79">
        <v>1</v>
      </c>
      <c r="CM37" s="66"/>
      <c r="CN37" s="76"/>
      <c r="CO37" s="78" t="str">
        <f t="shared" si="6"/>
        <v>MXN - Otros vista</v>
      </c>
      <c r="CP37" s="79">
        <v>0</v>
      </c>
      <c r="CQ37" s="79">
        <v>0</v>
      </c>
      <c r="CR37" s="79">
        <v>0</v>
      </c>
      <c r="CS37" s="79">
        <v>0</v>
      </c>
      <c r="CT37" s="79">
        <v>0</v>
      </c>
      <c r="CU37" s="79">
        <v>0</v>
      </c>
      <c r="CV37" s="79">
        <v>0</v>
      </c>
      <c r="CW37" s="79">
        <v>0</v>
      </c>
      <c r="CX37" s="79">
        <v>0</v>
      </c>
      <c r="CY37" s="79">
        <v>0</v>
      </c>
      <c r="CZ37" s="79">
        <v>0</v>
      </c>
      <c r="DA37" s="79">
        <v>0</v>
      </c>
      <c r="DB37" s="66"/>
      <c r="DC37" s="66"/>
      <c r="DD37" s="78" t="str">
        <f t="shared" si="7"/>
        <v>MXN - Otros vista</v>
      </c>
      <c r="DE37" s="79">
        <v>0</v>
      </c>
      <c r="DF37" s="79">
        <v>0</v>
      </c>
      <c r="DG37" s="79">
        <v>0</v>
      </c>
      <c r="DH37" s="79">
        <v>0</v>
      </c>
      <c r="DI37" s="79">
        <v>0</v>
      </c>
      <c r="DJ37" s="79">
        <v>0</v>
      </c>
      <c r="DK37" s="79">
        <v>0</v>
      </c>
      <c r="DL37" s="79">
        <v>0</v>
      </c>
      <c r="DM37" s="79">
        <v>0</v>
      </c>
      <c r="DN37" s="79">
        <v>0</v>
      </c>
      <c r="DO37" s="79">
        <v>0</v>
      </c>
      <c r="DP37" s="79">
        <v>0</v>
      </c>
      <c r="DQ37" s="66"/>
      <c r="DR37" s="76"/>
      <c r="DS37" s="78" t="str">
        <f t="shared" si="8"/>
        <v>MXN - Otros vista</v>
      </c>
      <c r="DT37" s="79">
        <v>0</v>
      </c>
      <c r="DU37" s="79">
        <v>0</v>
      </c>
      <c r="DV37" s="79">
        <v>0</v>
      </c>
      <c r="DW37" s="79">
        <v>0</v>
      </c>
      <c r="DX37" s="79">
        <v>0</v>
      </c>
      <c r="DY37" s="79">
        <v>0</v>
      </c>
      <c r="DZ37" s="79">
        <v>0</v>
      </c>
      <c r="EA37" s="79">
        <v>0</v>
      </c>
      <c r="EB37" s="79">
        <v>0</v>
      </c>
      <c r="EC37" s="79">
        <v>0</v>
      </c>
      <c r="ED37" s="79">
        <v>0</v>
      </c>
      <c r="EE37" s="79">
        <v>0</v>
      </c>
      <c r="EF37" s="66"/>
      <c r="EG37" s="76"/>
      <c r="EH37" s="78" t="str">
        <f t="shared" si="9"/>
        <v>MXN - Otros vista</v>
      </c>
      <c r="EI37" s="79">
        <v>0</v>
      </c>
      <c r="EJ37" s="79">
        <v>0</v>
      </c>
      <c r="EK37" s="79">
        <v>0</v>
      </c>
      <c r="EL37" s="79">
        <v>0</v>
      </c>
      <c r="EM37" s="79">
        <v>0</v>
      </c>
      <c r="EN37" s="79">
        <v>0</v>
      </c>
      <c r="EO37" s="79">
        <v>0</v>
      </c>
      <c r="EP37" s="79">
        <v>0</v>
      </c>
      <c r="EQ37" s="79">
        <v>0</v>
      </c>
      <c r="ER37" s="79">
        <v>0</v>
      </c>
      <c r="ES37" s="79">
        <v>0</v>
      </c>
      <c r="ET37" s="79">
        <v>0</v>
      </c>
      <c r="EU37" s="66"/>
      <c r="EV37" s="66"/>
      <c r="EW37" s="66"/>
      <c r="EX37" s="66"/>
      <c r="EY37" s="66"/>
      <c r="EZ37" s="66"/>
      <c r="FA37" s="66"/>
      <c r="FB37" s="66"/>
      <c r="FC37" s="66"/>
      <c r="FD37" s="66"/>
      <c r="FE37" s="66"/>
      <c r="FF37" s="66"/>
      <c r="FG37" s="66"/>
      <c r="FH37" s="66"/>
      <c r="FI37" s="66"/>
      <c r="FJ37" s="76"/>
      <c r="FK37" s="78" t="str">
        <f t="shared" si="10"/>
        <v>MXN - Otros vista</v>
      </c>
      <c r="FL37" s="79">
        <v>0</v>
      </c>
      <c r="FM37" s="79">
        <v>0</v>
      </c>
      <c r="FN37" s="79">
        <v>0</v>
      </c>
      <c r="FO37" s="79">
        <v>0</v>
      </c>
      <c r="FP37" s="79">
        <v>0</v>
      </c>
      <c r="FQ37" s="79">
        <v>0</v>
      </c>
      <c r="FR37" s="79">
        <v>0</v>
      </c>
      <c r="FS37" s="79">
        <v>0</v>
      </c>
      <c r="FT37" s="79">
        <v>0</v>
      </c>
      <c r="FU37" s="79">
        <v>0</v>
      </c>
      <c r="FV37" s="79">
        <v>0</v>
      </c>
      <c r="FW37" s="79">
        <v>0</v>
      </c>
      <c r="FX37" s="68"/>
      <c r="FY37" s="76"/>
      <c r="FZ37" s="78" t="str">
        <f t="shared" si="11"/>
        <v>MXN - Otros vista</v>
      </c>
      <c r="GA37" s="79" t="s">
        <v>338</v>
      </c>
      <c r="GB37" s="79" t="s">
        <v>338</v>
      </c>
      <c r="GC37" s="79" t="s">
        <v>338</v>
      </c>
      <c r="GD37" s="79" t="s">
        <v>338</v>
      </c>
      <c r="GE37" s="79" t="s">
        <v>338</v>
      </c>
      <c r="GF37" s="79" t="s">
        <v>338</v>
      </c>
      <c r="GG37" s="79" t="s">
        <v>338</v>
      </c>
      <c r="GH37" s="79" t="s">
        <v>338</v>
      </c>
      <c r="GI37" s="79" t="s">
        <v>338</v>
      </c>
      <c r="GJ37" s="79" t="s">
        <v>338</v>
      </c>
      <c r="GK37" s="79" t="s">
        <v>338</v>
      </c>
      <c r="GL37" s="79" t="s">
        <v>338</v>
      </c>
    </row>
    <row r="38" spans="1:194" ht="14.25" customHeight="1" x14ac:dyDescent="0.35">
      <c r="A38" s="65"/>
      <c r="B38" s="75"/>
      <c r="C38" s="76" t="s">
        <v>449</v>
      </c>
      <c r="D38" s="77">
        <v>-3208029713.8771305</v>
      </c>
      <c r="E38" s="77">
        <v>491970286.12286979</v>
      </c>
      <c r="F38" s="77">
        <v>491970286.12286979</v>
      </c>
      <c r="G38" s="77">
        <v>491970286.12286979</v>
      </c>
      <c r="H38" s="77">
        <v>491970286.12286979</v>
      </c>
      <c r="I38" s="77">
        <v>491970286.12286979</v>
      </c>
      <c r="J38" s="77">
        <v>491970286.12286979</v>
      </c>
      <c r="K38" s="77">
        <v>491970286.12286979</v>
      </c>
      <c r="L38" s="77">
        <v>491970286.12286979</v>
      </c>
      <c r="M38" s="77">
        <v>491970286.12286979</v>
      </c>
      <c r="N38" s="77">
        <v>491970286.12286979</v>
      </c>
      <c r="O38" s="77">
        <v>491970286.12286979</v>
      </c>
      <c r="P38" s="66"/>
      <c r="Q38" s="66"/>
      <c r="R38" s="78" t="str">
        <f t="shared" si="1"/>
        <v>MXN - Cuentas corrientes remuneradas</v>
      </c>
      <c r="S38" s="79">
        <v>0</v>
      </c>
      <c r="T38" s="79">
        <v>0</v>
      </c>
      <c r="U38" s="79">
        <v>0</v>
      </c>
      <c r="V38" s="79">
        <v>0</v>
      </c>
      <c r="W38" s="79">
        <v>0</v>
      </c>
      <c r="X38" s="79">
        <v>0</v>
      </c>
      <c r="Y38" s="79">
        <v>0</v>
      </c>
      <c r="Z38" s="79">
        <v>0</v>
      </c>
      <c r="AA38" s="79">
        <v>0</v>
      </c>
      <c r="AB38" s="79">
        <v>0</v>
      </c>
      <c r="AC38" s="79">
        <v>0</v>
      </c>
      <c r="AD38" s="79">
        <v>0</v>
      </c>
      <c r="AE38" s="66"/>
      <c r="AF38" s="75"/>
      <c r="AG38" s="78" t="str">
        <f t="shared" si="2"/>
        <v>MXN - Cuentas corrientes remuneradas</v>
      </c>
      <c r="AH38" s="80">
        <v>-0.05</v>
      </c>
      <c r="AI38" s="80">
        <v>-0.05</v>
      </c>
      <c r="AJ38" s="80">
        <v>-0.05</v>
      </c>
      <c r="AK38" s="80">
        <v>-0.05</v>
      </c>
      <c r="AL38" s="80">
        <v>-0.05</v>
      </c>
      <c r="AM38" s="80">
        <v>-0.05</v>
      </c>
      <c r="AN38" s="80">
        <v>-0.05</v>
      </c>
      <c r="AO38" s="80">
        <v>-0.05</v>
      </c>
      <c r="AP38" s="80">
        <v>-0.05</v>
      </c>
      <c r="AQ38" s="80">
        <v>-0.05</v>
      </c>
      <c r="AR38" s="80">
        <v>-0.05</v>
      </c>
      <c r="AS38" s="80">
        <v>-0.05</v>
      </c>
      <c r="AT38" s="66"/>
      <c r="AU38" s="76"/>
      <c r="AV38" s="78" t="str">
        <f t="shared" si="3"/>
        <v>MXN - Cuentas corrientes remuneradas</v>
      </c>
      <c r="AW38" s="80">
        <v>0</v>
      </c>
      <c r="AX38" s="80">
        <v>0</v>
      </c>
      <c r="AY38" s="80">
        <v>0</v>
      </c>
      <c r="AZ38" s="80">
        <v>0</v>
      </c>
      <c r="BA38" s="80">
        <v>0</v>
      </c>
      <c r="BB38" s="80">
        <v>0</v>
      </c>
      <c r="BC38" s="80">
        <v>0</v>
      </c>
      <c r="BD38" s="80">
        <v>0</v>
      </c>
      <c r="BE38" s="80">
        <v>0</v>
      </c>
      <c r="BF38" s="80">
        <v>0</v>
      </c>
      <c r="BG38" s="80">
        <v>0</v>
      </c>
      <c r="BH38" s="80">
        <v>0</v>
      </c>
      <c r="BI38" s="66"/>
      <c r="BJ38" s="76"/>
      <c r="BK38" s="78" t="str">
        <f t="shared" si="4"/>
        <v>MXN - Cuentas corrientes remuneradas</v>
      </c>
      <c r="BL38" s="81" t="s">
        <v>338</v>
      </c>
      <c r="BM38" s="81" t="s">
        <v>338</v>
      </c>
      <c r="BN38" s="81" t="s">
        <v>338</v>
      </c>
      <c r="BO38" s="81" t="s">
        <v>338</v>
      </c>
      <c r="BP38" s="81" t="s">
        <v>338</v>
      </c>
      <c r="BQ38" s="81" t="s">
        <v>338</v>
      </c>
      <c r="BR38" s="81" t="s">
        <v>338</v>
      </c>
      <c r="BS38" s="81" t="s">
        <v>338</v>
      </c>
      <c r="BT38" s="81" t="s">
        <v>338</v>
      </c>
      <c r="BU38" s="81" t="s">
        <v>338</v>
      </c>
      <c r="BV38" s="81" t="s">
        <v>338</v>
      </c>
      <c r="BW38" s="81" t="s">
        <v>338</v>
      </c>
      <c r="BX38" s="66"/>
      <c r="BY38" s="76"/>
      <c r="BZ38" s="78" t="str">
        <f t="shared" si="5"/>
        <v>MXN - Cuentas corrientes remuneradas</v>
      </c>
      <c r="CA38" s="79">
        <v>1</v>
      </c>
      <c r="CB38" s="79">
        <v>1</v>
      </c>
      <c r="CC38" s="79">
        <v>1</v>
      </c>
      <c r="CD38" s="79">
        <v>1</v>
      </c>
      <c r="CE38" s="79">
        <v>1</v>
      </c>
      <c r="CF38" s="79">
        <v>1</v>
      </c>
      <c r="CG38" s="79">
        <v>1</v>
      </c>
      <c r="CH38" s="79">
        <v>1</v>
      </c>
      <c r="CI38" s="79">
        <v>1</v>
      </c>
      <c r="CJ38" s="79">
        <v>1</v>
      </c>
      <c r="CK38" s="79">
        <v>1</v>
      </c>
      <c r="CL38" s="79">
        <v>1</v>
      </c>
      <c r="CM38" s="66"/>
      <c r="CN38" s="76"/>
      <c r="CO38" s="78" t="str">
        <f t="shared" si="6"/>
        <v>MXN - Cuentas corrientes remuneradas</v>
      </c>
      <c r="CP38" s="79">
        <v>0</v>
      </c>
      <c r="CQ38" s="79">
        <v>0</v>
      </c>
      <c r="CR38" s="79">
        <v>0</v>
      </c>
      <c r="CS38" s="79">
        <v>0</v>
      </c>
      <c r="CT38" s="79">
        <v>0</v>
      </c>
      <c r="CU38" s="79">
        <v>0</v>
      </c>
      <c r="CV38" s="79">
        <v>0</v>
      </c>
      <c r="CW38" s="79">
        <v>0</v>
      </c>
      <c r="CX38" s="79">
        <v>0</v>
      </c>
      <c r="CY38" s="79">
        <v>0</v>
      </c>
      <c r="CZ38" s="79">
        <v>0</v>
      </c>
      <c r="DA38" s="79">
        <v>0</v>
      </c>
      <c r="DB38" s="66"/>
      <c r="DC38" s="66"/>
      <c r="DD38" s="78" t="str">
        <f t="shared" si="7"/>
        <v>MXN - Cuentas corrientes remuneradas</v>
      </c>
      <c r="DE38" s="79">
        <v>0</v>
      </c>
      <c r="DF38" s="79">
        <v>0</v>
      </c>
      <c r="DG38" s="79">
        <v>0</v>
      </c>
      <c r="DH38" s="79">
        <v>0</v>
      </c>
      <c r="DI38" s="79">
        <v>0</v>
      </c>
      <c r="DJ38" s="79">
        <v>0</v>
      </c>
      <c r="DK38" s="79">
        <v>0</v>
      </c>
      <c r="DL38" s="79">
        <v>0</v>
      </c>
      <c r="DM38" s="79">
        <v>0</v>
      </c>
      <c r="DN38" s="79">
        <v>0</v>
      </c>
      <c r="DO38" s="79">
        <v>0</v>
      </c>
      <c r="DP38" s="79">
        <v>0</v>
      </c>
      <c r="DQ38" s="66"/>
      <c r="DR38" s="76"/>
      <c r="DS38" s="78" t="str">
        <f t="shared" si="8"/>
        <v>MXN - Cuentas corrientes remuneradas</v>
      </c>
      <c r="DT38" s="79">
        <v>0</v>
      </c>
      <c r="DU38" s="79">
        <v>0</v>
      </c>
      <c r="DV38" s="79">
        <v>0</v>
      </c>
      <c r="DW38" s="79">
        <v>0</v>
      </c>
      <c r="DX38" s="79">
        <v>0</v>
      </c>
      <c r="DY38" s="79">
        <v>0</v>
      </c>
      <c r="DZ38" s="79">
        <v>0</v>
      </c>
      <c r="EA38" s="79">
        <v>0</v>
      </c>
      <c r="EB38" s="79">
        <v>0</v>
      </c>
      <c r="EC38" s="79">
        <v>0</v>
      </c>
      <c r="ED38" s="79">
        <v>0</v>
      </c>
      <c r="EE38" s="79">
        <v>0</v>
      </c>
      <c r="EF38" s="66"/>
      <c r="EG38" s="76"/>
      <c r="EH38" s="78" t="str">
        <f t="shared" si="9"/>
        <v>MXN - Cuentas corrientes remuneradas</v>
      </c>
      <c r="EI38" s="79">
        <v>0</v>
      </c>
      <c r="EJ38" s="79">
        <v>0</v>
      </c>
      <c r="EK38" s="79">
        <v>0</v>
      </c>
      <c r="EL38" s="79">
        <v>0</v>
      </c>
      <c r="EM38" s="79">
        <v>0</v>
      </c>
      <c r="EN38" s="79">
        <v>0</v>
      </c>
      <c r="EO38" s="79">
        <v>0</v>
      </c>
      <c r="EP38" s="79">
        <v>0</v>
      </c>
      <c r="EQ38" s="79">
        <v>0</v>
      </c>
      <c r="ER38" s="79">
        <v>0</v>
      </c>
      <c r="ES38" s="79">
        <v>0</v>
      </c>
      <c r="ET38" s="79">
        <v>0</v>
      </c>
      <c r="EU38" s="66"/>
      <c r="EV38" s="66"/>
      <c r="EW38" s="66"/>
      <c r="EX38" s="66"/>
      <c r="EY38" s="66"/>
      <c r="EZ38" s="66"/>
      <c r="FA38" s="66"/>
      <c r="FB38" s="66"/>
      <c r="FC38" s="66"/>
      <c r="FD38" s="66"/>
      <c r="FE38" s="66"/>
      <c r="FF38" s="66"/>
      <c r="FG38" s="66"/>
      <c r="FH38" s="66"/>
      <c r="FI38" s="66"/>
      <c r="FJ38" s="76"/>
      <c r="FK38" s="78" t="str">
        <f t="shared" si="10"/>
        <v>MXN - Cuentas corrientes remuneradas</v>
      </c>
      <c r="FL38" s="79">
        <v>0</v>
      </c>
      <c r="FM38" s="79">
        <v>0</v>
      </c>
      <c r="FN38" s="79">
        <v>0</v>
      </c>
      <c r="FO38" s="79">
        <v>0</v>
      </c>
      <c r="FP38" s="79">
        <v>0</v>
      </c>
      <c r="FQ38" s="79">
        <v>0</v>
      </c>
      <c r="FR38" s="79">
        <v>0</v>
      </c>
      <c r="FS38" s="79">
        <v>0</v>
      </c>
      <c r="FT38" s="79">
        <v>0</v>
      </c>
      <c r="FU38" s="79">
        <v>0</v>
      </c>
      <c r="FV38" s="79">
        <v>0</v>
      </c>
      <c r="FW38" s="79">
        <v>0</v>
      </c>
      <c r="FX38" s="68"/>
      <c r="FY38" s="76"/>
      <c r="FZ38" s="78" t="str">
        <f t="shared" si="11"/>
        <v>MXN - Cuentas corrientes remuneradas</v>
      </c>
      <c r="GA38" s="79" t="s">
        <v>338</v>
      </c>
      <c r="GB38" s="79" t="s">
        <v>338</v>
      </c>
      <c r="GC38" s="79" t="s">
        <v>338</v>
      </c>
      <c r="GD38" s="79" t="s">
        <v>338</v>
      </c>
      <c r="GE38" s="79" t="s">
        <v>338</v>
      </c>
      <c r="GF38" s="79" t="s">
        <v>338</v>
      </c>
      <c r="GG38" s="79" t="s">
        <v>338</v>
      </c>
      <c r="GH38" s="79" t="s">
        <v>338</v>
      </c>
      <c r="GI38" s="79" t="s">
        <v>338</v>
      </c>
      <c r="GJ38" s="79" t="s">
        <v>338</v>
      </c>
      <c r="GK38" s="79" t="s">
        <v>338</v>
      </c>
      <c r="GL38" s="79" t="s">
        <v>338</v>
      </c>
    </row>
    <row r="39" spans="1:194" ht="14.25" customHeight="1" x14ac:dyDescent="0.35">
      <c r="A39" s="65"/>
      <c r="B39" s="75"/>
      <c r="C39" s="76" t="s">
        <v>450</v>
      </c>
      <c r="D39" s="83">
        <v>250000000</v>
      </c>
      <c r="E39" s="77">
        <v>-40532241.151519999</v>
      </c>
      <c r="F39" s="77">
        <v>-40532241.151519999</v>
      </c>
      <c r="G39" s="77">
        <v>-40532241.151519999</v>
      </c>
      <c r="H39" s="77">
        <v>-40532241.151519999</v>
      </c>
      <c r="I39" s="77">
        <v>-40532241.151519999</v>
      </c>
      <c r="J39" s="77">
        <v>-40532241.151519999</v>
      </c>
      <c r="K39" s="77">
        <v>-40532241.151519999</v>
      </c>
      <c r="L39" s="77">
        <v>-40532241.151519999</v>
      </c>
      <c r="M39" s="77">
        <v>-40532241.151519999</v>
      </c>
      <c r="N39" s="77">
        <v>-40532241.151519999</v>
      </c>
      <c r="O39" s="77">
        <v>-40532241.151519999</v>
      </c>
      <c r="P39" s="66"/>
      <c r="Q39" s="66"/>
      <c r="R39" s="78" t="str">
        <f t="shared" si="1"/>
        <v>MXN - Emprestitos Fijo</v>
      </c>
      <c r="S39" s="79">
        <v>0</v>
      </c>
      <c r="T39" s="79">
        <v>0</v>
      </c>
      <c r="U39" s="79">
        <v>0</v>
      </c>
      <c r="V39" s="79">
        <v>0</v>
      </c>
      <c r="W39" s="79">
        <v>0</v>
      </c>
      <c r="X39" s="79">
        <v>0</v>
      </c>
      <c r="Y39" s="79">
        <v>0</v>
      </c>
      <c r="Z39" s="79">
        <v>0</v>
      </c>
      <c r="AA39" s="79">
        <v>0</v>
      </c>
      <c r="AB39" s="79">
        <v>0</v>
      </c>
      <c r="AC39" s="79">
        <v>0</v>
      </c>
      <c r="AD39" s="79">
        <v>0</v>
      </c>
      <c r="AE39" s="66"/>
      <c r="AF39" s="75"/>
      <c r="AG39" s="78" t="str">
        <f t="shared" si="2"/>
        <v>MXN - Emprestitos Fijo</v>
      </c>
      <c r="AH39" s="80">
        <v>-0.05</v>
      </c>
      <c r="AI39" s="80">
        <v>-0.05</v>
      </c>
      <c r="AJ39" s="80">
        <v>-0.05</v>
      </c>
      <c r="AK39" s="80">
        <v>-0.05</v>
      </c>
      <c r="AL39" s="80">
        <v>-0.05</v>
      </c>
      <c r="AM39" s="80">
        <v>-0.05</v>
      </c>
      <c r="AN39" s="80">
        <v>-0.05</v>
      </c>
      <c r="AO39" s="80">
        <v>-0.05</v>
      </c>
      <c r="AP39" s="80">
        <v>-0.05</v>
      </c>
      <c r="AQ39" s="80">
        <v>-0.05</v>
      </c>
      <c r="AR39" s="80">
        <v>-0.05</v>
      </c>
      <c r="AS39" s="80">
        <v>-0.05</v>
      </c>
      <c r="AT39" s="66"/>
      <c r="AU39" s="76"/>
      <c r="AV39" s="78" t="str">
        <f t="shared" si="3"/>
        <v>MXN - Emprestitos Fijo</v>
      </c>
      <c r="AW39" s="80">
        <v>0</v>
      </c>
      <c r="AX39" s="80">
        <v>0</v>
      </c>
      <c r="AY39" s="80">
        <v>0</v>
      </c>
      <c r="AZ39" s="80">
        <v>0</v>
      </c>
      <c r="BA39" s="80">
        <v>0</v>
      </c>
      <c r="BB39" s="80">
        <v>0</v>
      </c>
      <c r="BC39" s="80">
        <v>0</v>
      </c>
      <c r="BD39" s="80">
        <v>0</v>
      </c>
      <c r="BE39" s="80">
        <v>0</v>
      </c>
      <c r="BF39" s="80">
        <v>0</v>
      </c>
      <c r="BG39" s="80">
        <v>0</v>
      </c>
      <c r="BH39" s="80">
        <v>0</v>
      </c>
      <c r="BI39" s="66"/>
      <c r="BJ39" s="76"/>
      <c r="BK39" s="78" t="str">
        <f t="shared" si="4"/>
        <v>MXN - Emprestitos Fijo</v>
      </c>
      <c r="BL39" s="81" t="s">
        <v>338</v>
      </c>
      <c r="BM39" s="81" t="s">
        <v>338</v>
      </c>
      <c r="BN39" s="81" t="s">
        <v>338</v>
      </c>
      <c r="BO39" s="81" t="s">
        <v>338</v>
      </c>
      <c r="BP39" s="81" t="s">
        <v>338</v>
      </c>
      <c r="BQ39" s="81" t="s">
        <v>338</v>
      </c>
      <c r="BR39" s="81" t="s">
        <v>338</v>
      </c>
      <c r="BS39" s="81" t="s">
        <v>338</v>
      </c>
      <c r="BT39" s="81" t="s">
        <v>338</v>
      </c>
      <c r="BU39" s="81" t="s">
        <v>338</v>
      </c>
      <c r="BV39" s="81" t="s">
        <v>338</v>
      </c>
      <c r="BW39" s="81" t="s">
        <v>338</v>
      </c>
      <c r="BX39" s="66"/>
      <c r="BY39" s="76"/>
      <c r="BZ39" s="78" t="str">
        <f t="shared" si="5"/>
        <v>MXN - Emprestitos Fijo</v>
      </c>
      <c r="CA39" s="79">
        <v>1</v>
      </c>
      <c r="CB39" s="79">
        <v>1</v>
      </c>
      <c r="CC39" s="79">
        <v>1</v>
      </c>
      <c r="CD39" s="79">
        <v>1</v>
      </c>
      <c r="CE39" s="79">
        <v>1</v>
      </c>
      <c r="CF39" s="79">
        <v>1</v>
      </c>
      <c r="CG39" s="79">
        <v>1</v>
      </c>
      <c r="CH39" s="79">
        <v>1</v>
      </c>
      <c r="CI39" s="79">
        <v>1</v>
      </c>
      <c r="CJ39" s="79">
        <v>1</v>
      </c>
      <c r="CK39" s="79">
        <v>1</v>
      </c>
      <c r="CL39" s="79">
        <v>1</v>
      </c>
      <c r="CM39" s="66"/>
      <c r="CN39" s="76"/>
      <c r="CO39" s="78" t="str">
        <f t="shared" si="6"/>
        <v>MXN - Emprestitos Fijo</v>
      </c>
      <c r="CP39" s="79">
        <v>0</v>
      </c>
      <c r="CQ39" s="79">
        <v>0</v>
      </c>
      <c r="CR39" s="79">
        <v>0</v>
      </c>
      <c r="CS39" s="79">
        <v>0</v>
      </c>
      <c r="CT39" s="79">
        <v>0</v>
      </c>
      <c r="CU39" s="79">
        <v>0</v>
      </c>
      <c r="CV39" s="79">
        <v>0</v>
      </c>
      <c r="CW39" s="79">
        <v>0</v>
      </c>
      <c r="CX39" s="79">
        <v>0</v>
      </c>
      <c r="CY39" s="79">
        <v>0</v>
      </c>
      <c r="CZ39" s="79">
        <v>0</v>
      </c>
      <c r="DA39" s="79">
        <v>0</v>
      </c>
      <c r="DB39" s="66"/>
      <c r="DC39" s="66"/>
      <c r="DD39" s="78" t="str">
        <f t="shared" si="7"/>
        <v>MXN - Emprestitos Fijo</v>
      </c>
      <c r="DE39" s="79">
        <v>0</v>
      </c>
      <c r="DF39" s="79">
        <v>0</v>
      </c>
      <c r="DG39" s="79">
        <v>0</v>
      </c>
      <c r="DH39" s="79">
        <v>0</v>
      </c>
      <c r="DI39" s="79">
        <v>0</v>
      </c>
      <c r="DJ39" s="79">
        <v>0</v>
      </c>
      <c r="DK39" s="79">
        <v>0</v>
      </c>
      <c r="DL39" s="79">
        <v>0</v>
      </c>
      <c r="DM39" s="79">
        <v>0</v>
      </c>
      <c r="DN39" s="79">
        <v>0</v>
      </c>
      <c r="DO39" s="79">
        <v>0</v>
      </c>
      <c r="DP39" s="79">
        <v>0</v>
      </c>
      <c r="DQ39" s="66"/>
      <c r="DR39" s="76"/>
      <c r="DS39" s="78" t="str">
        <f t="shared" si="8"/>
        <v>MXN - Emprestitos Fijo</v>
      </c>
      <c r="DT39" s="79">
        <v>0</v>
      </c>
      <c r="DU39" s="79">
        <v>0</v>
      </c>
      <c r="DV39" s="79">
        <v>0</v>
      </c>
      <c r="DW39" s="79">
        <v>0</v>
      </c>
      <c r="DX39" s="79">
        <v>0</v>
      </c>
      <c r="DY39" s="79">
        <v>0</v>
      </c>
      <c r="DZ39" s="79">
        <v>0</v>
      </c>
      <c r="EA39" s="79">
        <v>0</v>
      </c>
      <c r="EB39" s="79">
        <v>0</v>
      </c>
      <c r="EC39" s="79">
        <v>0</v>
      </c>
      <c r="ED39" s="79">
        <v>0</v>
      </c>
      <c r="EE39" s="79">
        <v>0</v>
      </c>
      <c r="EF39" s="66"/>
      <c r="EG39" s="76"/>
      <c r="EH39" s="78" t="str">
        <f t="shared" si="9"/>
        <v>MXN - Emprestitos Fijo</v>
      </c>
      <c r="EI39" s="79">
        <v>0</v>
      </c>
      <c r="EJ39" s="79">
        <v>0</v>
      </c>
      <c r="EK39" s="79">
        <v>0</v>
      </c>
      <c r="EL39" s="79">
        <v>0</v>
      </c>
      <c r="EM39" s="79">
        <v>0</v>
      </c>
      <c r="EN39" s="79">
        <v>0</v>
      </c>
      <c r="EO39" s="79">
        <v>0</v>
      </c>
      <c r="EP39" s="79">
        <v>0</v>
      </c>
      <c r="EQ39" s="79">
        <v>0</v>
      </c>
      <c r="ER39" s="79">
        <v>0</v>
      </c>
      <c r="ES39" s="79">
        <v>0</v>
      </c>
      <c r="ET39" s="79">
        <v>0</v>
      </c>
      <c r="EU39" s="66"/>
      <c r="EV39" s="66"/>
      <c r="EW39" s="66"/>
      <c r="EX39" s="66"/>
      <c r="EY39" s="66"/>
      <c r="EZ39" s="66"/>
      <c r="FA39" s="66"/>
      <c r="FB39" s="66"/>
      <c r="FC39" s="66"/>
      <c r="FD39" s="66"/>
      <c r="FE39" s="66"/>
      <c r="FF39" s="66"/>
      <c r="FG39" s="66"/>
      <c r="FH39" s="66"/>
      <c r="FI39" s="66"/>
      <c r="FJ39" s="76"/>
      <c r="FK39" s="78" t="str">
        <f t="shared" si="10"/>
        <v>MXN - Emprestitos Fijo</v>
      </c>
      <c r="FL39" s="79">
        <v>0</v>
      </c>
      <c r="FM39" s="79">
        <v>0</v>
      </c>
      <c r="FN39" s="79">
        <v>0</v>
      </c>
      <c r="FO39" s="79">
        <v>0</v>
      </c>
      <c r="FP39" s="79">
        <v>0</v>
      </c>
      <c r="FQ39" s="79">
        <v>0</v>
      </c>
      <c r="FR39" s="79">
        <v>0</v>
      </c>
      <c r="FS39" s="79">
        <v>0</v>
      </c>
      <c r="FT39" s="79">
        <v>0</v>
      </c>
      <c r="FU39" s="79">
        <v>0</v>
      </c>
      <c r="FV39" s="79">
        <v>0</v>
      </c>
      <c r="FW39" s="79">
        <v>0</v>
      </c>
      <c r="FX39" s="68"/>
      <c r="FY39" s="76"/>
      <c r="FZ39" s="78" t="str">
        <f t="shared" si="11"/>
        <v>MXN - Emprestitos Fijo</v>
      </c>
      <c r="GA39" s="79" t="s">
        <v>338</v>
      </c>
      <c r="GB39" s="79" t="s">
        <v>338</v>
      </c>
      <c r="GC39" s="79" t="s">
        <v>338</v>
      </c>
      <c r="GD39" s="79" t="s">
        <v>338</v>
      </c>
      <c r="GE39" s="79" t="s">
        <v>338</v>
      </c>
      <c r="GF39" s="79" t="s">
        <v>338</v>
      </c>
      <c r="GG39" s="79" t="s">
        <v>338</v>
      </c>
      <c r="GH39" s="79" t="s">
        <v>338</v>
      </c>
      <c r="GI39" s="79" t="s">
        <v>338</v>
      </c>
      <c r="GJ39" s="79" t="s">
        <v>338</v>
      </c>
      <c r="GK39" s="79" t="s">
        <v>338</v>
      </c>
      <c r="GL39" s="79" t="s">
        <v>338</v>
      </c>
    </row>
    <row r="40" spans="1:194" ht="14.25" customHeight="1" x14ac:dyDescent="0.35">
      <c r="A40" s="65"/>
      <c r="B40" s="75"/>
      <c r="C40" s="76" t="s">
        <v>451</v>
      </c>
      <c r="D40" s="77">
        <v>0</v>
      </c>
      <c r="E40" s="77">
        <v>0</v>
      </c>
      <c r="F40" s="77">
        <v>0</v>
      </c>
      <c r="G40" s="77">
        <v>0</v>
      </c>
      <c r="H40" s="77">
        <v>0</v>
      </c>
      <c r="I40" s="77">
        <v>0</v>
      </c>
      <c r="J40" s="77">
        <v>0</v>
      </c>
      <c r="K40" s="77">
        <v>0</v>
      </c>
      <c r="L40" s="77">
        <v>0</v>
      </c>
      <c r="M40" s="77">
        <v>0</v>
      </c>
      <c r="N40" s="77">
        <v>0</v>
      </c>
      <c r="O40" s="77">
        <v>0</v>
      </c>
      <c r="P40" s="66"/>
      <c r="Q40" s="66"/>
      <c r="R40" s="78" t="str">
        <f t="shared" si="1"/>
        <v>MXN - Emprestitos Variable</v>
      </c>
      <c r="S40" s="79">
        <v>0</v>
      </c>
      <c r="T40" s="79">
        <v>0</v>
      </c>
      <c r="U40" s="79">
        <v>0</v>
      </c>
      <c r="V40" s="79">
        <v>0</v>
      </c>
      <c r="W40" s="79">
        <v>0</v>
      </c>
      <c r="X40" s="79">
        <v>0</v>
      </c>
      <c r="Y40" s="79">
        <v>0</v>
      </c>
      <c r="Z40" s="79">
        <v>0</v>
      </c>
      <c r="AA40" s="79">
        <v>0</v>
      </c>
      <c r="AB40" s="79">
        <v>0</v>
      </c>
      <c r="AC40" s="79">
        <v>0</v>
      </c>
      <c r="AD40" s="79">
        <v>0</v>
      </c>
      <c r="AE40" s="66"/>
      <c r="AF40" s="75"/>
      <c r="AG40" s="78" t="str">
        <f t="shared" si="2"/>
        <v>MXN - Emprestitos Variable</v>
      </c>
      <c r="AH40" s="80">
        <v>0</v>
      </c>
      <c r="AI40" s="80">
        <v>0</v>
      </c>
      <c r="AJ40" s="80">
        <v>0</v>
      </c>
      <c r="AK40" s="80">
        <v>0</v>
      </c>
      <c r="AL40" s="80">
        <v>0</v>
      </c>
      <c r="AM40" s="80">
        <v>0</v>
      </c>
      <c r="AN40" s="80">
        <v>0</v>
      </c>
      <c r="AO40" s="80">
        <v>0</v>
      </c>
      <c r="AP40" s="80">
        <v>0</v>
      </c>
      <c r="AQ40" s="80">
        <v>0</v>
      </c>
      <c r="AR40" s="80">
        <v>0</v>
      </c>
      <c r="AS40" s="80">
        <v>0</v>
      </c>
      <c r="AT40" s="66"/>
      <c r="AU40" s="76"/>
      <c r="AV40" s="78" t="str">
        <f t="shared" si="3"/>
        <v>MXN - Emprestitos Variable</v>
      </c>
      <c r="AW40" s="80">
        <v>0</v>
      </c>
      <c r="AX40" s="80">
        <v>0</v>
      </c>
      <c r="AY40" s="80">
        <v>0</v>
      </c>
      <c r="AZ40" s="80">
        <v>0</v>
      </c>
      <c r="BA40" s="80">
        <v>0</v>
      </c>
      <c r="BB40" s="80">
        <v>0</v>
      </c>
      <c r="BC40" s="80">
        <v>0</v>
      </c>
      <c r="BD40" s="80">
        <v>0</v>
      </c>
      <c r="BE40" s="80">
        <v>0</v>
      </c>
      <c r="BF40" s="80">
        <v>0</v>
      </c>
      <c r="BG40" s="80">
        <v>0</v>
      </c>
      <c r="BH40" s="80">
        <v>0</v>
      </c>
      <c r="BI40" s="66"/>
      <c r="BJ40" s="76"/>
      <c r="BK40" s="78" t="str">
        <f t="shared" si="4"/>
        <v>MXN - Emprestitos Variable</v>
      </c>
      <c r="BL40" s="81" t="s">
        <v>338</v>
      </c>
      <c r="BM40" s="81" t="s">
        <v>338</v>
      </c>
      <c r="BN40" s="81" t="s">
        <v>338</v>
      </c>
      <c r="BO40" s="81" t="s">
        <v>338</v>
      </c>
      <c r="BP40" s="81" t="s">
        <v>338</v>
      </c>
      <c r="BQ40" s="81" t="s">
        <v>338</v>
      </c>
      <c r="BR40" s="81" t="s">
        <v>338</v>
      </c>
      <c r="BS40" s="81" t="s">
        <v>338</v>
      </c>
      <c r="BT40" s="81" t="s">
        <v>338</v>
      </c>
      <c r="BU40" s="81" t="s">
        <v>338</v>
      </c>
      <c r="BV40" s="81" t="s">
        <v>338</v>
      </c>
      <c r="BW40" s="81" t="s">
        <v>338</v>
      </c>
      <c r="BX40" s="66"/>
      <c r="BY40" s="76"/>
      <c r="BZ40" s="78" t="str">
        <f t="shared" si="5"/>
        <v>MXN - Emprestitos Variable</v>
      </c>
      <c r="CA40" s="79">
        <v>1</v>
      </c>
      <c r="CB40" s="79">
        <v>1</v>
      </c>
      <c r="CC40" s="79">
        <v>1</v>
      </c>
      <c r="CD40" s="79">
        <v>1</v>
      </c>
      <c r="CE40" s="79">
        <v>1</v>
      </c>
      <c r="CF40" s="79">
        <v>1</v>
      </c>
      <c r="CG40" s="79">
        <v>1</v>
      </c>
      <c r="CH40" s="79">
        <v>1</v>
      </c>
      <c r="CI40" s="79">
        <v>1</v>
      </c>
      <c r="CJ40" s="79">
        <v>1</v>
      </c>
      <c r="CK40" s="79">
        <v>1</v>
      </c>
      <c r="CL40" s="79">
        <v>1</v>
      </c>
      <c r="CM40" s="66"/>
      <c r="CN40" s="76"/>
      <c r="CO40" s="78" t="str">
        <f t="shared" si="6"/>
        <v>MXN - Emprestitos Variable</v>
      </c>
      <c r="CP40" s="79">
        <v>0</v>
      </c>
      <c r="CQ40" s="79">
        <v>0</v>
      </c>
      <c r="CR40" s="79">
        <v>0</v>
      </c>
      <c r="CS40" s="79">
        <v>0</v>
      </c>
      <c r="CT40" s="79">
        <v>0</v>
      </c>
      <c r="CU40" s="79">
        <v>0</v>
      </c>
      <c r="CV40" s="79">
        <v>0</v>
      </c>
      <c r="CW40" s="79">
        <v>0</v>
      </c>
      <c r="CX40" s="79">
        <v>0</v>
      </c>
      <c r="CY40" s="79">
        <v>0</v>
      </c>
      <c r="CZ40" s="79">
        <v>0</v>
      </c>
      <c r="DA40" s="79">
        <v>0</v>
      </c>
      <c r="DB40" s="66"/>
      <c r="DC40" s="66"/>
      <c r="DD40" s="78" t="str">
        <f t="shared" si="7"/>
        <v>MXN - Emprestitos Variable</v>
      </c>
      <c r="DE40" s="79">
        <v>0</v>
      </c>
      <c r="DF40" s="79">
        <v>0</v>
      </c>
      <c r="DG40" s="79">
        <v>0</v>
      </c>
      <c r="DH40" s="79">
        <v>0</v>
      </c>
      <c r="DI40" s="79">
        <v>0</v>
      </c>
      <c r="DJ40" s="79">
        <v>0</v>
      </c>
      <c r="DK40" s="79">
        <v>0</v>
      </c>
      <c r="DL40" s="79">
        <v>0</v>
      </c>
      <c r="DM40" s="79">
        <v>0</v>
      </c>
      <c r="DN40" s="79">
        <v>0</v>
      </c>
      <c r="DO40" s="79">
        <v>0</v>
      </c>
      <c r="DP40" s="79">
        <v>0</v>
      </c>
      <c r="DQ40" s="66"/>
      <c r="DR40" s="76"/>
      <c r="DS40" s="78" t="str">
        <f t="shared" si="8"/>
        <v>MXN - Emprestitos Variable</v>
      </c>
      <c r="DT40" s="79">
        <v>0</v>
      </c>
      <c r="DU40" s="79">
        <v>0</v>
      </c>
      <c r="DV40" s="79">
        <v>0</v>
      </c>
      <c r="DW40" s="79">
        <v>0</v>
      </c>
      <c r="DX40" s="79">
        <v>0</v>
      </c>
      <c r="DY40" s="79">
        <v>0</v>
      </c>
      <c r="DZ40" s="79">
        <v>0</v>
      </c>
      <c r="EA40" s="79">
        <v>0</v>
      </c>
      <c r="EB40" s="79">
        <v>0</v>
      </c>
      <c r="EC40" s="79">
        <v>0</v>
      </c>
      <c r="ED40" s="79">
        <v>0</v>
      </c>
      <c r="EE40" s="79">
        <v>0</v>
      </c>
      <c r="EF40" s="66"/>
      <c r="EG40" s="76"/>
      <c r="EH40" s="78" t="str">
        <f t="shared" si="9"/>
        <v>MXN - Emprestitos Variable</v>
      </c>
      <c r="EI40" s="79">
        <v>0</v>
      </c>
      <c r="EJ40" s="79">
        <v>0</v>
      </c>
      <c r="EK40" s="79">
        <v>0</v>
      </c>
      <c r="EL40" s="79">
        <v>0</v>
      </c>
      <c r="EM40" s="79">
        <v>0</v>
      </c>
      <c r="EN40" s="79">
        <v>0</v>
      </c>
      <c r="EO40" s="79">
        <v>0</v>
      </c>
      <c r="EP40" s="79">
        <v>0</v>
      </c>
      <c r="EQ40" s="79">
        <v>0</v>
      </c>
      <c r="ER40" s="79">
        <v>0</v>
      </c>
      <c r="ES40" s="79">
        <v>0</v>
      </c>
      <c r="ET40" s="79">
        <v>0</v>
      </c>
      <c r="EU40" s="66"/>
      <c r="EV40" s="66"/>
      <c r="EW40" s="66"/>
      <c r="EX40" s="66"/>
      <c r="EY40" s="66"/>
      <c r="EZ40" s="66"/>
      <c r="FA40" s="66"/>
      <c r="FB40" s="66"/>
      <c r="FC40" s="66"/>
      <c r="FD40" s="66"/>
      <c r="FE40" s="66"/>
      <c r="FF40" s="66"/>
      <c r="FG40" s="66"/>
      <c r="FH40" s="66"/>
      <c r="FI40" s="66"/>
      <c r="FJ40" s="76"/>
      <c r="FK40" s="78" t="str">
        <f t="shared" si="10"/>
        <v>MXN - Emprestitos Variable</v>
      </c>
      <c r="FL40" s="79">
        <v>0</v>
      </c>
      <c r="FM40" s="79">
        <v>0</v>
      </c>
      <c r="FN40" s="79">
        <v>0</v>
      </c>
      <c r="FO40" s="79">
        <v>0</v>
      </c>
      <c r="FP40" s="79">
        <v>0</v>
      </c>
      <c r="FQ40" s="79">
        <v>0</v>
      </c>
      <c r="FR40" s="79">
        <v>0</v>
      </c>
      <c r="FS40" s="79">
        <v>0</v>
      </c>
      <c r="FT40" s="79">
        <v>0</v>
      </c>
      <c r="FU40" s="79">
        <v>0</v>
      </c>
      <c r="FV40" s="79">
        <v>0</v>
      </c>
      <c r="FW40" s="79">
        <v>0</v>
      </c>
      <c r="FX40" s="68"/>
      <c r="FY40" s="76"/>
      <c r="FZ40" s="78" t="str">
        <f t="shared" si="11"/>
        <v>MXN - Emprestitos Variable</v>
      </c>
      <c r="GA40" s="79" t="s">
        <v>338</v>
      </c>
      <c r="GB40" s="79" t="s">
        <v>338</v>
      </c>
      <c r="GC40" s="79" t="s">
        <v>338</v>
      </c>
      <c r="GD40" s="79" t="s">
        <v>338</v>
      </c>
      <c r="GE40" s="79" t="s">
        <v>338</v>
      </c>
      <c r="GF40" s="79" t="s">
        <v>338</v>
      </c>
      <c r="GG40" s="79" t="s">
        <v>338</v>
      </c>
      <c r="GH40" s="79" t="s">
        <v>338</v>
      </c>
      <c r="GI40" s="79" t="s">
        <v>338</v>
      </c>
      <c r="GJ40" s="79" t="s">
        <v>338</v>
      </c>
      <c r="GK40" s="79" t="s">
        <v>338</v>
      </c>
      <c r="GL40" s="79" t="s">
        <v>338</v>
      </c>
    </row>
    <row r="41" spans="1:194" ht="14.25" customHeight="1" x14ac:dyDescent="0.35">
      <c r="A41" s="65"/>
      <c r="B41" s="75"/>
      <c r="C41" s="76" t="s">
        <v>452</v>
      </c>
      <c r="D41" s="77">
        <v>0</v>
      </c>
      <c r="E41" s="77">
        <v>0</v>
      </c>
      <c r="F41" s="77">
        <v>0</v>
      </c>
      <c r="G41" s="77">
        <v>0</v>
      </c>
      <c r="H41" s="77">
        <v>0</v>
      </c>
      <c r="I41" s="77">
        <v>0</v>
      </c>
      <c r="J41" s="77">
        <v>0</v>
      </c>
      <c r="K41" s="77">
        <v>0</v>
      </c>
      <c r="L41" s="77">
        <v>0</v>
      </c>
      <c r="M41" s="77">
        <v>0</v>
      </c>
      <c r="N41" s="77">
        <v>0</v>
      </c>
      <c r="O41" s="77">
        <v>0</v>
      </c>
      <c r="P41" s="66"/>
      <c r="Q41" s="66"/>
      <c r="R41" s="78" t="str">
        <f t="shared" si="1"/>
        <v>MXN - Ces.temp.activos + Caucion Pasiva</v>
      </c>
      <c r="S41" s="79">
        <v>0</v>
      </c>
      <c r="T41" s="79">
        <v>0</v>
      </c>
      <c r="U41" s="79">
        <v>0</v>
      </c>
      <c r="V41" s="79">
        <v>0</v>
      </c>
      <c r="W41" s="79">
        <v>0</v>
      </c>
      <c r="X41" s="79">
        <v>0</v>
      </c>
      <c r="Y41" s="79">
        <v>0</v>
      </c>
      <c r="Z41" s="79">
        <v>0</v>
      </c>
      <c r="AA41" s="79">
        <v>0</v>
      </c>
      <c r="AB41" s="79">
        <v>0</v>
      </c>
      <c r="AC41" s="79">
        <v>0</v>
      </c>
      <c r="AD41" s="79">
        <v>0</v>
      </c>
      <c r="AE41" s="66"/>
      <c r="AF41" s="75"/>
      <c r="AG41" s="78" t="str">
        <f t="shared" si="2"/>
        <v>MXN - Ces.temp.activos + Caucion Pasiva</v>
      </c>
      <c r="AH41" s="80">
        <v>0</v>
      </c>
      <c r="AI41" s="80">
        <v>0</v>
      </c>
      <c r="AJ41" s="80">
        <v>0</v>
      </c>
      <c r="AK41" s="80">
        <v>0</v>
      </c>
      <c r="AL41" s="80">
        <v>0</v>
      </c>
      <c r="AM41" s="80">
        <v>0</v>
      </c>
      <c r="AN41" s="80">
        <v>0</v>
      </c>
      <c r="AO41" s="80">
        <v>0</v>
      </c>
      <c r="AP41" s="80">
        <v>0</v>
      </c>
      <c r="AQ41" s="80">
        <v>0</v>
      </c>
      <c r="AR41" s="80">
        <v>0</v>
      </c>
      <c r="AS41" s="80">
        <v>0</v>
      </c>
      <c r="AT41" s="66"/>
      <c r="AU41" s="76"/>
      <c r="AV41" s="78" t="str">
        <f t="shared" si="3"/>
        <v>MXN - Ces.temp.activos + Caucion Pasiva</v>
      </c>
      <c r="AW41" s="80">
        <v>0</v>
      </c>
      <c r="AX41" s="80">
        <v>0</v>
      </c>
      <c r="AY41" s="80">
        <v>0</v>
      </c>
      <c r="AZ41" s="80">
        <v>0</v>
      </c>
      <c r="BA41" s="80">
        <v>0</v>
      </c>
      <c r="BB41" s="80">
        <v>0</v>
      </c>
      <c r="BC41" s="80">
        <v>0</v>
      </c>
      <c r="BD41" s="80">
        <v>0</v>
      </c>
      <c r="BE41" s="80">
        <v>0</v>
      </c>
      <c r="BF41" s="80">
        <v>0</v>
      </c>
      <c r="BG41" s="80">
        <v>0</v>
      </c>
      <c r="BH41" s="80">
        <v>0</v>
      </c>
      <c r="BI41" s="66"/>
      <c r="BJ41" s="76"/>
      <c r="BK41" s="78" t="str">
        <f t="shared" si="4"/>
        <v>MXN - Ces.temp.activos + Caucion Pasiva</v>
      </c>
      <c r="BL41" s="81" t="s">
        <v>338</v>
      </c>
      <c r="BM41" s="81" t="s">
        <v>338</v>
      </c>
      <c r="BN41" s="81" t="s">
        <v>338</v>
      </c>
      <c r="BO41" s="81" t="s">
        <v>338</v>
      </c>
      <c r="BP41" s="81" t="s">
        <v>338</v>
      </c>
      <c r="BQ41" s="81" t="s">
        <v>338</v>
      </c>
      <c r="BR41" s="81" t="s">
        <v>338</v>
      </c>
      <c r="BS41" s="81" t="s">
        <v>338</v>
      </c>
      <c r="BT41" s="81" t="s">
        <v>338</v>
      </c>
      <c r="BU41" s="81" t="s">
        <v>338</v>
      </c>
      <c r="BV41" s="81" t="s">
        <v>338</v>
      </c>
      <c r="BW41" s="81" t="s">
        <v>338</v>
      </c>
      <c r="BX41" s="66"/>
      <c r="BY41" s="76"/>
      <c r="BZ41" s="78" t="str">
        <f t="shared" si="5"/>
        <v>MXN - Ces.temp.activos + Caucion Pasiva</v>
      </c>
      <c r="CA41" s="79">
        <v>1</v>
      </c>
      <c r="CB41" s="79">
        <v>1</v>
      </c>
      <c r="CC41" s="79">
        <v>1</v>
      </c>
      <c r="CD41" s="79">
        <v>1</v>
      </c>
      <c r="CE41" s="79">
        <v>1</v>
      </c>
      <c r="CF41" s="79">
        <v>1</v>
      </c>
      <c r="CG41" s="79">
        <v>1</v>
      </c>
      <c r="CH41" s="79">
        <v>1</v>
      </c>
      <c r="CI41" s="79">
        <v>1</v>
      </c>
      <c r="CJ41" s="79">
        <v>1</v>
      </c>
      <c r="CK41" s="79">
        <v>1</v>
      </c>
      <c r="CL41" s="79">
        <v>1</v>
      </c>
      <c r="CM41" s="66"/>
      <c r="CN41" s="76"/>
      <c r="CO41" s="78" t="str">
        <f t="shared" si="6"/>
        <v>MXN - Ces.temp.activos + Caucion Pasiva</v>
      </c>
      <c r="CP41" s="79">
        <v>0</v>
      </c>
      <c r="CQ41" s="79">
        <v>0</v>
      </c>
      <c r="CR41" s="79">
        <v>0</v>
      </c>
      <c r="CS41" s="79">
        <v>0</v>
      </c>
      <c r="CT41" s="79">
        <v>0</v>
      </c>
      <c r="CU41" s="79">
        <v>0</v>
      </c>
      <c r="CV41" s="79">
        <v>0</v>
      </c>
      <c r="CW41" s="79">
        <v>0</v>
      </c>
      <c r="CX41" s="79">
        <v>0</v>
      </c>
      <c r="CY41" s="79">
        <v>0</v>
      </c>
      <c r="CZ41" s="79">
        <v>0</v>
      </c>
      <c r="DA41" s="79">
        <v>0</v>
      </c>
      <c r="DB41" s="66"/>
      <c r="DC41" s="66"/>
      <c r="DD41" s="78" t="str">
        <f t="shared" si="7"/>
        <v>MXN - Ces.temp.activos + Caucion Pasiva</v>
      </c>
      <c r="DE41" s="79">
        <v>0</v>
      </c>
      <c r="DF41" s="79">
        <v>0</v>
      </c>
      <c r="DG41" s="79">
        <v>0</v>
      </c>
      <c r="DH41" s="79">
        <v>0</v>
      </c>
      <c r="DI41" s="79">
        <v>0</v>
      </c>
      <c r="DJ41" s="79">
        <v>0</v>
      </c>
      <c r="DK41" s="79">
        <v>0</v>
      </c>
      <c r="DL41" s="79">
        <v>0</v>
      </c>
      <c r="DM41" s="79">
        <v>0</v>
      </c>
      <c r="DN41" s="79">
        <v>0</v>
      </c>
      <c r="DO41" s="79">
        <v>0</v>
      </c>
      <c r="DP41" s="79">
        <v>0</v>
      </c>
      <c r="DQ41" s="66"/>
      <c r="DR41" s="76"/>
      <c r="DS41" s="78" t="str">
        <f t="shared" si="8"/>
        <v>MXN - Ces.temp.activos + Caucion Pasiva</v>
      </c>
      <c r="DT41" s="79">
        <v>0</v>
      </c>
      <c r="DU41" s="79">
        <v>0</v>
      </c>
      <c r="DV41" s="79">
        <v>0</v>
      </c>
      <c r="DW41" s="79">
        <v>0</v>
      </c>
      <c r="DX41" s="79">
        <v>0</v>
      </c>
      <c r="DY41" s="79">
        <v>0</v>
      </c>
      <c r="DZ41" s="79">
        <v>0</v>
      </c>
      <c r="EA41" s="79">
        <v>0</v>
      </c>
      <c r="EB41" s="79">
        <v>0</v>
      </c>
      <c r="EC41" s="79">
        <v>0</v>
      </c>
      <c r="ED41" s="79">
        <v>0</v>
      </c>
      <c r="EE41" s="79">
        <v>0</v>
      </c>
      <c r="EF41" s="66"/>
      <c r="EG41" s="76"/>
      <c r="EH41" s="78" t="str">
        <f t="shared" si="9"/>
        <v>MXN - Ces.temp.activos + Caucion Pasiva</v>
      </c>
      <c r="EI41" s="79">
        <v>0</v>
      </c>
      <c r="EJ41" s="79">
        <v>0</v>
      </c>
      <c r="EK41" s="79">
        <v>0</v>
      </c>
      <c r="EL41" s="79">
        <v>0</v>
      </c>
      <c r="EM41" s="79">
        <v>0</v>
      </c>
      <c r="EN41" s="79">
        <v>0</v>
      </c>
      <c r="EO41" s="79">
        <v>0</v>
      </c>
      <c r="EP41" s="79">
        <v>0</v>
      </c>
      <c r="EQ41" s="79">
        <v>0</v>
      </c>
      <c r="ER41" s="79">
        <v>0</v>
      </c>
      <c r="ES41" s="79">
        <v>0</v>
      </c>
      <c r="ET41" s="79">
        <v>0</v>
      </c>
      <c r="EU41" s="66"/>
      <c r="EV41" s="66"/>
      <c r="EW41" s="66"/>
      <c r="EX41" s="66"/>
      <c r="EY41" s="66"/>
      <c r="EZ41" s="66"/>
      <c r="FA41" s="66"/>
      <c r="FB41" s="66"/>
      <c r="FC41" s="66"/>
      <c r="FD41" s="66"/>
      <c r="FE41" s="66"/>
      <c r="FF41" s="66"/>
      <c r="FG41" s="66"/>
      <c r="FH41" s="66"/>
      <c r="FI41" s="66"/>
      <c r="FJ41" s="76"/>
      <c r="FK41" s="78" t="str">
        <f t="shared" si="10"/>
        <v>MXN - Ces.temp.activos + Caucion Pasiva</v>
      </c>
      <c r="FL41" s="79">
        <v>0</v>
      </c>
      <c r="FM41" s="79">
        <v>0</v>
      </c>
      <c r="FN41" s="79">
        <v>0</v>
      </c>
      <c r="FO41" s="79">
        <v>0</v>
      </c>
      <c r="FP41" s="79">
        <v>0</v>
      </c>
      <c r="FQ41" s="79">
        <v>0</v>
      </c>
      <c r="FR41" s="79">
        <v>0</v>
      </c>
      <c r="FS41" s="79">
        <v>0</v>
      </c>
      <c r="FT41" s="79">
        <v>0</v>
      </c>
      <c r="FU41" s="79">
        <v>0</v>
      </c>
      <c r="FV41" s="79">
        <v>0</v>
      </c>
      <c r="FW41" s="79">
        <v>0</v>
      </c>
      <c r="FX41" s="68"/>
      <c r="FY41" s="76"/>
      <c r="FZ41" s="78" t="str">
        <f t="shared" si="11"/>
        <v>MXN - Ces.temp.activos + Caucion Pasiva</v>
      </c>
      <c r="GA41" s="79" t="s">
        <v>338</v>
      </c>
      <c r="GB41" s="79" t="s">
        <v>338</v>
      </c>
      <c r="GC41" s="79" t="s">
        <v>338</v>
      </c>
      <c r="GD41" s="79" t="s">
        <v>338</v>
      </c>
      <c r="GE41" s="79" t="s">
        <v>338</v>
      </c>
      <c r="GF41" s="79" t="s">
        <v>338</v>
      </c>
      <c r="GG41" s="79" t="s">
        <v>338</v>
      </c>
      <c r="GH41" s="79" t="s">
        <v>338</v>
      </c>
      <c r="GI41" s="79" t="s">
        <v>338</v>
      </c>
      <c r="GJ41" s="79" t="s">
        <v>338</v>
      </c>
      <c r="GK41" s="79" t="s">
        <v>338</v>
      </c>
      <c r="GL41" s="79" t="s">
        <v>338</v>
      </c>
    </row>
    <row r="42" spans="1:194" ht="14.25" customHeight="1" x14ac:dyDescent="0.35">
      <c r="A42" s="65"/>
      <c r="B42" s="75"/>
      <c r="C42" s="76" t="s">
        <v>453</v>
      </c>
      <c r="D42" s="77">
        <v>0</v>
      </c>
      <c r="E42" s="77">
        <v>0</v>
      </c>
      <c r="F42" s="77">
        <v>0</v>
      </c>
      <c r="G42" s="77">
        <v>0</v>
      </c>
      <c r="H42" s="77">
        <v>0</v>
      </c>
      <c r="I42" s="77">
        <v>0</v>
      </c>
      <c r="J42" s="77">
        <v>0</v>
      </c>
      <c r="K42" s="77">
        <v>0</v>
      </c>
      <c r="L42" s="77">
        <v>0</v>
      </c>
      <c r="M42" s="77">
        <v>0</v>
      </c>
      <c r="N42" s="77">
        <v>0</v>
      </c>
      <c r="O42" s="77">
        <v>0</v>
      </c>
      <c r="P42" s="66"/>
      <c r="Q42" s="66"/>
      <c r="R42" s="78" t="str">
        <f t="shared" si="1"/>
        <v>MXN - Impuesto a las ganancias</v>
      </c>
      <c r="S42" s="79">
        <v>0</v>
      </c>
      <c r="T42" s="79">
        <v>0</v>
      </c>
      <c r="U42" s="79">
        <v>0</v>
      </c>
      <c r="V42" s="79">
        <v>0</v>
      </c>
      <c r="W42" s="79">
        <v>0</v>
      </c>
      <c r="X42" s="79">
        <v>0</v>
      </c>
      <c r="Y42" s="79">
        <v>0</v>
      </c>
      <c r="Z42" s="79">
        <v>0</v>
      </c>
      <c r="AA42" s="79">
        <v>0</v>
      </c>
      <c r="AB42" s="79">
        <v>0</v>
      </c>
      <c r="AC42" s="79">
        <v>0</v>
      </c>
      <c r="AD42" s="79">
        <v>0</v>
      </c>
      <c r="AE42" s="66"/>
      <c r="AF42" s="75"/>
      <c r="AG42" s="78" t="str">
        <f t="shared" si="2"/>
        <v>MXN - Impuesto a las ganancias</v>
      </c>
      <c r="AH42" s="80">
        <v>0</v>
      </c>
      <c r="AI42" s="80">
        <v>0</v>
      </c>
      <c r="AJ42" s="80">
        <v>0</v>
      </c>
      <c r="AK42" s="80">
        <v>0</v>
      </c>
      <c r="AL42" s="80">
        <v>0</v>
      </c>
      <c r="AM42" s="80">
        <v>0</v>
      </c>
      <c r="AN42" s="80">
        <v>0</v>
      </c>
      <c r="AO42" s="80">
        <v>0</v>
      </c>
      <c r="AP42" s="80">
        <v>0</v>
      </c>
      <c r="AQ42" s="80">
        <v>0</v>
      </c>
      <c r="AR42" s="80">
        <v>0</v>
      </c>
      <c r="AS42" s="80">
        <v>0</v>
      </c>
      <c r="AT42" s="66"/>
      <c r="AU42" s="76"/>
      <c r="AV42" s="78" t="str">
        <f t="shared" si="3"/>
        <v>MXN - Impuesto a las ganancias</v>
      </c>
      <c r="AW42" s="80">
        <v>0</v>
      </c>
      <c r="AX42" s="80">
        <v>0</v>
      </c>
      <c r="AY42" s="80">
        <v>0</v>
      </c>
      <c r="AZ42" s="80">
        <v>0</v>
      </c>
      <c r="BA42" s="80">
        <v>0</v>
      </c>
      <c r="BB42" s="80">
        <v>0</v>
      </c>
      <c r="BC42" s="80">
        <v>0</v>
      </c>
      <c r="BD42" s="80">
        <v>0</v>
      </c>
      <c r="BE42" s="80">
        <v>0</v>
      </c>
      <c r="BF42" s="80">
        <v>0</v>
      </c>
      <c r="BG42" s="80">
        <v>0</v>
      </c>
      <c r="BH42" s="80">
        <v>0</v>
      </c>
      <c r="BI42" s="66"/>
      <c r="BJ42" s="76"/>
      <c r="BK42" s="78" t="str">
        <f t="shared" si="4"/>
        <v>MXN - Impuesto a las ganancias</v>
      </c>
      <c r="BL42" s="81" t="s">
        <v>338</v>
      </c>
      <c r="BM42" s="81" t="s">
        <v>338</v>
      </c>
      <c r="BN42" s="81" t="s">
        <v>338</v>
      </c>
      <c r="BO42" s="81" t="s">
        <v>338</v>
      </c>
      <c r="BP42" s="81" t="s">
        <v>338</v>
      </c>
      <c r="BQ42" s="81" t="s">
        <v>338</v>
      </c>
      <c r="BR42" s="81" t="s">
        <v>338</v>
      </c>
      <c r="BS42" s="81" t="s">
        <v>338</v>
      </c>
      <c r="BT42" s="81" t="s">
        <v>338</v>
      </c>
      <c r="BU42" s="81" t="s">
        <v>338</v>
      </c>
      <c r="BV42" s="81" t="s">
        <v>338</v>
      </c>
      <c r="BW42" s="81" t="s">
        <v>338</v>
      </c>
      <c r="BX42" s="66"/>
      <c r="BY42" s="76"/>
      <c r="BZ42" s="78" t="str">
        <f t="shared" si="5"/>
        <v>MXN - Impuesto a las ganancias</v>
      </c>
      <c r="CA42" s="79">
        <v>1</v>
      </c>
      <c r="CB42" s="79">
        <v>1</v>
      </c>
      <c r="CC42" s="79">
        <v>1</v>
      </c>
      <c r="CD42" s="79">
        <v>1</v>
      </c>
      <c r="CE42" s="79">
        <v>1</v>
      </c>
      <c r="CF42" s="79">
        <v>1</v>
      </c>
      <c r="CG42" s="79">
        <v>1</v>
      </c>
      <c r="CH42" s="79">
        <v>1</v>
      </c>
      <c r="CI42" s="79">
        <v>1</v>
      </c>
      <c r="CJ42" s="79">
        <v>1</v>
      </c>
      <c r="CK42" s="79">
        <v>1</v>
      </c>
      <c r="CL42" s="79">
        <v>1</v>
      </c>
      <c r="CM42" s="66"/>
      <c r="CN42" s="76"/>
      <c r="CO42" s="78" t="str">
        <f t="shared" si="6"/>
        <v>MXN - Impuesto a las ganancias</v>
      </c>
      <c r="CP42" s="79">
        <v>0</v>
      </c>
      <c r="CQ42" s="79">
        <v>0</v>
      </c>
      <c r="CR42" s="79">
        <v>0</v>
      </c>
      <c r="CS42" s="79">
        <v>0</v>
      </c>
      <c r="CT42" s="79">
        <v>0</v>
      </c>
      <c r="CU42" s="79">
        <v>0</v>
      </c>
      <c r="CV42" s="79">
        <v>0</v>
      </c>
      <c r="CW42" s="79">
        <v>0</v>
      </c>
      <c r="CX42" s="79">
        <v>0</v>
      </c>
      <c r="CY42" s="79">
        <v>0</v>
      </c>
      <c r="CZ42" s="79">
        <v>0</v>
      </c>
      <c r="DA42" s="79">
        <v>0</v>
      </c>
      <c r="DB42" s="66"/>
      <c r="DC42" s="66"/>
      <c r="DD42" s="78" t="str">
        <f t="shared" si="7"/>
        <v>MXN - Impuesto a las ganancias</v>
      </c>
      <c r="DE42" s="79">
        <v>0</v>
      </c>
      <c r="DF42" s="79">
        <v>0</v>
      </c>
      <c r="DG42" s="79">
        <v>0</v>
      </c>
      <c r="DH42" s="79">
        <v>0</v>
      </c>
      <c r="DI42" s="79">
        <v>0</v>
      </c>
      <c r="DJ42" s="79">
        <v>0</v>
      </c>
      <c r="DK42" s="79">
        <v>0</v>
      </c>
      <c r="DL42" s="79">
        <v>0</v>
      </c>
      <c r="DM42" s="79">
        <v>0</v>
      </c>
      <c r="DN42" s="79">
        <v>0</v>
      </c>
      <c r="DO42" s="79">
        <v>0</v>
      </c>
      <c r="DP42" s="79">
        <v>0</v>
      </c>
      <c r="DQ42" s="66"/>
      <c r="DR42" s="76"/>
      <c r="DS42" s="78" t="str">
        <f t="shared" si="8"/>
        <v>MXN - Impuesto a las ganancias</v>
      </c>
      <c r="DT42" s="79">
        <v>0</v>
      </c>
      <c r="DU42" s="79">
        <v>0</v>
      </c>
      <c r="DV42" s="79">
        <v>0</v>
      </c>
      <c r="DW42" s="79">
        <v>0</v>
      </c>
      <c r="DX42" s="79">
        <v>0</v>
      </c>
      <c r="DY42" s="79">
        <v>0</v>
      </c>
      <c r="DZ42" s="79">
        <v>0</v>
      </c>
      <c r="EA42" s="79">
        <v>0</v>
      </c>
      <c r="EB42" s="79">
        <v>0</v>
      </c>
      <c r="EC42" s="79">
        <v>0</v>
      </c>
      <c r="ED42" s="79">
        <v>0</v>
      </c>
      <c r="EE42" s="79">
        <v>0</v>
      </c>
      <c r="EF42" s="66"/>
      <c r="EG42" s="76"/>
      <c r="EH42" s="78" t="str">
        <f t="shared" si="9"/>
        <v>MXN - Impuesto a las ganancias</v>
      </c>
      <c r="EI42" s="79">
        <v>0</v>
      </c>
      <c r="EJ42" s="79">
        <v>0</v>
      </c>
      <c r="EK42" s="79">
        <v>0</v>
      </c>
      <c r="EL42" s="79">
        <v>0</v>
      </c>
      <c r="EM42" s="79">
        <v>0</v>
      </c>
      <c r="EN42" s="79">
        <v>0</v>
      </c>
      <c r="EO42" s="79">
        <v>0</v>
      </c>
      <c r="EP42" s="79">
        <v>0</v>
      </c>
      <c r="EQ42" s="79">
        <v>0</v>
      </c>
      <c r="ER42" s="79">
        <v>0</v>
      </c>
      <c r="ES42" s="79">
        <v>0</v>
      </c>
      <c r="ET42" s="79">
        <v>0</v>
      </c>
      <c r="EU42" s="66"/>
      <c r="EV42" s="66"/>
      <c r="EW42" s="66"/>
      <c r="EX42" s="66"/>
      <c r="EY42" s="66"/>
      <c r="EZ42" s="66"/>
      <c r="FA42" s="66"/>
      <c r="FB42" s="66"/>
      <c r="FC42" s="66"/>
      <c r="FD42" s="66"/>
      <c r="FE42" s="66"/>
      <c r="FF42" s="66"/>
      <c r="FG42" s="66"/>
      <c r="FH42" s="66"/>
      <c r="FI42" s="66"/>
      <c r="FJ42" s="76"/>
      <c r="FK42" s="78" t="str">
        <f t="shared" si="10"/>
        <v>MXN - Impuesto a las ganancias</v>
      </c>
      <c r="FL42" s="79">
        <v>0</v>
      </c>
      <c r="FM42" s="79">
        <v>0</v>
      </c>
      <c r="FN42" s="79">
        <v>0</v>
      </c>
      <c r="FO42" s="79">
        <v>0</v>
      </c>
      <c r="FP42" s="79">
        <v>0</v>
      </c>
      <c r="FQ42" s="79">
        <v>0</v>
      </c>
      <c r="FR42" s="79">
        <v>0</v>
      </c>
      <c r="FS42" s="79">
        <v>0</v>
      </c>
      <c r="FT42" s="79">
        <v>0</v>
      </c>
      <c r="FU42" s="79">
        <v>0</v>
      </c>
      <c r="FV42" s="79">
        <v>0</v>
      </c>
      <c r="FW42" s="79">
        <v>0</v>
      </c>
      <c r="FX42" s="68"/>
      <c r="FY42" s="76"/>
      <c r="FZ42" s="78" t="str">
        <f t="shared" si="11"/>
        <v>MXN - Impuesto a las ganancias</v>
      </c>
      <c r="GA42" s="79" t="s">
        <v>338</v>
      </c>
      <c r="GB42" s="79" t="s">
        <v>338</v>
      </c>
      <c r="GC42" s="79" t="s">
        <v>338</v>
      </c>
      <c r="GD42" s="79" t="s">
        <v>338</v>
      </c>
      <c r="GE42" s="79" t="s">
        <v>338</v>
      </c>
      <c r="GF42" s="79" t="s">
        <v>338</v>
      </c>
      <c r="GG42" s="79" t="s">
        <v>338</v>
      </c>
      <c r="GH42" s="79" t="s">
        <v>338</v>
      </c>
      <c r="GI42" s="79" t="s">
        <v>338</v>
      </c>
      <c r="GJ42" s="79" t="s">
        <v>338</v>
      </c>
      <c r="GK42" s="79" t="s">
        <v>338</v>
      </c>
      <c r="GL42" s="79" t="s">
        <v>338</v>
      </c>
    </row>
    <row r="43" spans="1:194" ht="14.25" customHeight="1" x14ac:dyDescent="0.35">
      <c r="A43" s="65"/>
      <c r="B43" s="75"/>
      <c r="C43" s="76" t="s">
        <v>454</v>
      </c>
      <c r="D43" s="77">
        <v>0</v>
      </c>
      <c r="E43" s="77">
        <v>0</v>
      </c>
      <c r="F43" s="77">
        <v>0</v>
      </c>
      <c r="G43" s="77">
        <v>0</v>
      </c>
      <c r="H43" s="77">
        <v>0</v>
      </c>
      <c r="I43" s="77">
        <v>0</v>
      </c>
      <c r="J43" s="77">
        <v>0</v>
      </c>
      <c r="K43" s="77">
        <v>0</v>
      </c>
      <c r="L43" s="77">
        <v>0</v>
      </c>
      <c r="M43" s="77">
        <v>0</v>
      </c>
      <c r="N43" s="77">
        <v>0</v>
      </c>
      <c r="O43" s="77">
        <v>0</v>
      </c>
      <c r="P43" s="84"/>
      <c r="Q43" s="84"/>
      <c r="R43" s="78" t="str">
        <f t="shared" si="1"/>
        <v>MXN - Dividendos a pagar</v>
      </c>
      <c r="S43" s="79">
        <v>0</v>
      </c>
      <c r="T43" s="79">
        <v>0</v>
      </c>
      <c r="U43" s="79">
        <v>0</v>
      </c>
      <c r="V43" s="79">
        <v>0</v>
      </c>
      <c r="W43" s="79">
        <v>0</v>
      </c>
      <c r="X43" s="79">
        <v>0</v>
      </c>
      <c r="Y43" s="79">
        <v>0</v>
      </c>
      <c r="Z43" s="79">
        <v>0</v>
      </c>
      <c r="AA43" s="79">
        <v>0</v>
      </c>
      <c r="AB43" s="79">
        <v>0</v>
      </c>
      <c r="AC43" s="79">
        <v>0</v>
      </c>
      <c r="AD43" s="79">
        <v>0</v>
      </c>
      <c r="AE43" s="66"/>
      <c r="AF43" s="75"/>
      <c r="AG43" s="78" t="str">
        <f t="shared" si="2"/>
        <v>MXN - Dividendos a pagar</v>
      </c>
      <c r="AH43" s="80">
        <v>0</v>
      </c>
      <c r="AI43" s="80">
        <v>0</v>
      </c>
      <c r="AJ43" s="80">
        <v>0</v>
      </c>
      <c r="AK43" s="80">
        <v>0</v>
      </c>
      <c r="AL43" s="80">
        <v>0</v>
      </c>
      <c r="AM43" s="80">
        <v>0</v>
      </c>
      <c r="AN43" s="80">
        <v>0</v>
      </c>
      <c r="AO43" s="80">
        <v>0</v>
      </c>
      <c r="AP43" s="80">
        <v>0</v>
      </c>
      <c r="AQ43" s="80">
        <v>0</v>
      </c>
      <c r="AR43" s="80">
        <v>0</v>
      </c>
      <c r="AS43" s="80">
        <v>0</v>
      </c>
      <c r="AT43" s="66"/>
      <c r="AU43" s="76"/>
      <c r="AV43" s="78" t="str">
        <f t="shared" si="3"/>
        <v>MXN - Dividendos a pagar</v>
      </c>
      <c r="AW43" s="80">
        <v>0</v>
      </c>
      <c r="AX43" s="80">
        <v>0</v>
      </c>
      <c r="AY43" s="80">
        <v>0</v>
      </c>
      <c r="AZ43" s="80">
        <v>0</v>
      </c>
      <c r="BA43" s="80">
        <v>0</v>
      </c>
      <c r="BB43" s="80">
        <v>0</v>
      </c>
      <c r="BC43" s="80">
        <v>0</v>
      </c>
      <c r="BD43" s="80">
        <v>0</v>
      </c>
      <c r="BE43" s="80">
        <v>0</v>
      </c>
      <c r="BF43" s="80">
        <v>0</v>
      </c>
      <c r="BG43" s="80">
        <v>0</v>
      </c>
      <c r="BH43" s="80">
        <v>0</v>
      </c>
      <c r="BI43" s="66"/>
      <c r="BJ43" s="76"/>
      <c r="BK43" s="78" t="str">
        <f t="shared" si="4"/>
        <v>MXN - Dividendos a pagar</v>
      </c>
      <c r="BL43" s="81" t="s">
        <v>338</v>
      </c>
      <c r="BM43" s="81" t="s">
        <v>338</v>
      </c>
      <c r="BN43" s="81" t="s">
        <v>338</v>
      </c>
      <c r="BO43" s="81" t="s">
        <v>338</v>
      </c>
      <c r="BP43" s="81" t="s">
        <v>338</v>
      </c>
      <c r="BQ43" s="81" t="s">
        <v>338</v>
      </c>
      <c r="BR43" s="81" t="s">
        <v>338</v>
      </c>
      <c r="BS43" s="81" t="s">
        <v>338</v>
      </c>
      <c r="BT43" s="81" t="s">
        <v>338</v>
      </c>
      <c r="BU43" s="81" t="s">
        <v>338</v>
      </c>
      <c r="BV43" s="81" t="s">
        <v>338</v>
      </c>
      <c r="BW43" s="81" t="s">
        <v>338</v>
      </c>
      <c r="BX43" s="66"/>
      <c r="BY43" s="76"/>
      <c r="BZ43" s="78" t="str">
        <f t="shared" si="5"/>
        <v>MXN - Dividendos a pagar</v>
      </c>
      <c r="CA43" s="79">
        <v>1</v>
      </c>
      <c r="CB43" s="79">
        <v>1</v>
      </c>
      <c r="CC43" s="79">
        <v>1</v>
      </c>
      <c r="CD43" s="79">
        <v>1</v>
      </c>
      <c r="CE43" s="79">
        <v>1</v>
      </c>
      <c r="CF43" s="79">
        <v>1</v>
      </c>
      <c r="CG43" s="79">
        <v>1</v>
      </c>
      <c r="CH43" s="79">
        <v>1</v>
      </c>
      <c r="CI43" s="79">
        <v>1</v>
      </c>
      <c r="CJ43" s="79">
        <v>1</v>
      </c>
      <c r="CK43" s="79">
        <v>1</v>
      </c>
      <c r="CL43" s="79">
        <v>1</v>
      </c>
      <c r="CM43" s="66"/>
      <c r="CN43" s="76"/>
      <c r="CO43" s="78" t="str">
        <f t="shared" si="6"/>
        <v>MXN - Dividendos a pagar</v>
      </c>
      <c r="CP43" s="79">
        <v>0</v>
      </c>
      <c r="CQ43" s="79">
        <v>0</v>
      </c>
      <c r="CR43" s="79">
        <v>0</v>
      </c>
      <c r="CS43" s="79">
        <v>0</v>
      </c>
      <c r="CT43" s="79">
        <v>0</v>
      </c>
      <c r="CU43" s="79">
        <v>0</v>
      </c>
      <c r="CV43" s="79">
        <v>0</v>
      </c>
      <c r="CW43" s="79">
        <v>0</v>
      </c>
      <c r="CX43" s="79">
        <v>0</v>
      </c>
      <c r="CY43" s="79">
        <v>0</v>
      </c>
      <c r="CZ43" s="79">
        <v>0</v>
      </c>
      <c r="DA43" s="79">
        <v>0</v>
      </c>
      <c r="DB43" s="66"/>
      <c r="DC43" s="66"/>
      <c r="DD43" s="78" t="str">
        <f t="shared" si="7"/>
        <v>MXN - Dividendos a pagar</v>
      </c>
      <c r="DE43" s="79">
        <v>0</v>
      </c>
      <c r="DF43" s="79">
        <v>0</v>
      </c>
      <c r="DG43" s="79">
        <v>0</v>
      </c>
      <c r="DH43" s="79">
        <v>0</v>
      </c>
      <c r="DI43" s="79">
        <v>0</v>
      </c>
      <c r="DJ43" s="79">
        <v>0</v>
      </c>
      <c r="DK43" s="79">
        <v>0</v>
      </c>
      <c r="DL43" s="79">
        <v>0</v>
      </c>
      <c r="DM43" s="79">
        <v>0</v>
      </c>
      <c r="DN43" s="79">
        <v>0</v>
      </c>
      <c r="DO43" s="79">
        <v>0</v>
      </c>
      <c r="DP43" s="79">
        <v>0</v>
      </c>
      <c r="DQ43" s="66"/>
      <c r="DR43" s="76"/>
      <c r="DS43" s="78" t="str">
        <f t="shared" si="8"/>
        <v>MXN - Dividendos a pagar</v>
      </c>
      <c r="DT43" s="79">
        <v>0</v>
      </c>
      <c r="DU43" s="79">
        <v>0</v>
      </c>
      <c r="DV43" s="79">
        <v>0</v>
      </c>
      <c r="DW43" s="79">
        <v>0</v>
      </c>
      <c r="DX43" s="79">
        <v>0</v>
      </c>
      <c r="DY43" s="79">
        <v>0</v>
      </c>
      <c r="DZ43" s="79">
        <v>0</v>
      </c>
      <c r="EA43" s="79">
        <v>0</v>
      </c>
      <c r="EB43" s="79">
        <v>0</v>
      </c>
      <c r="EC43" s="79">
        <v>0</v>
      </c>
      <c r="ED43" s="79">
        <v>0</v>
      </c>
      <c r="EE43" s="79">
        <v>0</v>
      </c>
      <c r="EF43" s="66"/>
      <c r="EG43" s="76"/>
      <c r="EH43" s="78" t="str">
        <f t="shared" si="9"/>
        <v>MXN - Dividendos a pagar</v>
      </c>
      <c r="EI43" s="79">
        <v>0</v>
      </c>
      <c r="EJ43" s="79">
        <v>0</v>
      </c>
      <c r="EK43" s="79">
        <v>0</v>
      </c>
      <c r="EL43" s="79">
        <v>0</v>
      </c>
      <c r="EM43" s="79">
        <v>0</v>
      </c>
      <c r="EN43" s="79">
        <v>0</v>
      </c>
      <c r="EO43" s="79">
        <v>0</v>
      </c>
      <c r="EP43" s="79">
        <v>0</v>
      </c>
      <c r="EQ43" s="79">
        <v>0</v>
      </c>
      <c r="ER43" s="79">
        <v>0</v>
      </c>
      <c r="ES43" s="79">
        <v>0</v>
      </c>
      <c r="ET43" s="79">
        <v>0</v>
      </c>
      <c r="EU43" s="66"/>
      <c r="EV43" s="66"/>
      <c r="EW43" s="66"/>
      <c r="EX43" s="66"/>
      <c r="EY43" s="66"/>
      <c r="EZ43" s="66"/>
      <c r="FA43" s="66"/>
      <c r="FB43" s="66"/>
      <c r="FC43" s="66"/>
      <c r="FD43" s="66"/>
      <c r="FE43" s="66"/>
      <c r="FF43" s="66"/>
      <c r="FG43" s="66"/>
      <c r="FH43" s="66"/>
      <c r="FI43" s="66"/>
      <c r="FJ43" s="76"/>
      <c r="FK43" s="78" t="str">
        <f t="shared" si="10"/>
        <v>MXN - Dividendos a pagar</v>
      </c>
      <c r="FL43" s="79">
        <v>0</v>
      </c>
      <c r="FM43" s="79">
        <v>0</v>
      </c>
      <c r="FN43" s="79">
        <v>0</v>
      </c>
      <c r="FO43" s="79">
        <v>0</v>
      </c>
      <c r="FP43" s="79">
        <v>0</v>
      </c>
      <c r="FQ43" s="79">
        <v>0</v>
      </c>
      <c r="FR43" s="79">
        <v>0</v>
      </c>
      <c r="FS43" s="79">
        <v>0</v>
      </c>
      <c r="FT43" s="79">
        <v>0</v>
      </c>
      <c r="FU43" s="79">
        <v>0</v>
      </c>
      <c r="FV43" s="79">
        <v>0</v>
      </c>
      <c r="FW43" s="79">
        <v>0</v>
      </c>
      <c r="FX43" s="68"/>
      <c r="FY43" s="76"/>
      <c r="FZ43" s="78" t="str">
        <f t="shared" si="11"/>
        <v>MXN - Dividendos a pagar</v>
      </c>
      <c r="GA43" s="79" t="s">
        <v>338</v>
      </c>
      <c r="GB43" s="79" t="s">
        <v>338</v>
      </c>
      <c r="GC43" s="79" t="s">
        <v>338</v>
      </c>
      <c r="GD43" s="79" t="s">
        <v>338</v>
      </c>
      <c r="GE43" s="79" t="s">
        <v>338</v>
      </c>
      <c r="GF43" s="79" t="s">
        <v>338</v>
      </c>
      <c r="GG43" s="79" t="s">
        <v>338</v>
      </c>
      <c r="GH43" s="79" t="s">
        <v>338</v>
      </c>
      <c r="GI43" s="79" t="s">
        <v>338</v>
      </c>
      <c r="GJ43" s="79" t="s">
        <v>338</v>
      </c>
      <c r="GK43" s="79" t="s">
        <v>338</v>
      </c>
      <c r="GL43" s="79" t="s">
        <v>338</v>
      </c>
    </row>
    <row r="44" spans="1:194" ht="14.25" customHeight="1" x14ac:dyDescent="0.35">
      <c r="A44" s="65"/>
      <c r="B44" s="75"/>
      <c r="C44" s="76" t="s">
        <v>455</v>
      </c>
      <c r="D44" s="77">
        <v>0</v>
      </c>
      <c r="E44" s="77">
        <v>0</v>
      </c>
      <c r="F44" s="77">
        <v>0</v>
      </c>
      <c r="G44" s="77">
        <v>0</v>
      </c>
      <c r="H44" s="77">
        <v>0</v>
      </c>
      <c r="I44" s="77">
        <v>0</v>
      </c>
      <c r="J44" s="77">
        <v>0</v>
      </c>
      <c r="K44" s="77">
        <v>0</v>
      </c>
      <c r="L44" s="77">
        <v>0</v>
      </c>
      <c r="M44" s="77">
        <v>0</v>
      </c>
      <c r="N44" s="77">
        <v>0</v>
      </c>
      <c r="O44" s="77">
        <v>0</v>
      </c>
      <c r="P44" s="66"/>
      <c r="Q44" s="66"/>
      <c r="R44" s="78" t="str">
        <f t="shared" si="1"/>
        <v>MXN - Obligaciones por Fin de compras</v>
      </c>
      <c r="S44" s="79">
        <v>0</v>
      </c>
      <c r="T44" s="79">
        <v>0</v>
      </c>
      <c r="U44" s="79">
        <v>0</v>
      </c>
      <c r="V44" s="79">
        <v>0</v>
      </c>
      <c r="W44" s="79">
        <v>0</v>
      </c>
      <c r="X44" s="79">
        <v>0</v>
      </c>
      <c r="Y44" s="79">
        <v>0</v>
      </c>
      <c r="Z44" s="79">
        <v>0</v>
      </c>
      <c r="AA44" s="79">
        <v>0</v>
      </c>
      <c r="AB44" s="79">
        <v>0</v>
      </c>
      <c r="AC44" s="79">
        <v>0</v>
      </c>
      <c r="AD44" s="79">
        <v>0</v>
      </c>
      <c r="AE44" s="66"/>
      <c r="AF44" s="75"/>
      <c r="AG44" s="78" t="str">
        <f t="shared" si="2"/>
        <v>MXN - Obligaciones por Fin de compras</v>
      </c>
      <c r="AH44" s="80">
        <v>0</v>
      </c>
      <c r="AI44" s="80">
        <v>0</v>
      </c>
      <c r="AJ44" s="80">
        <v>0</v>
      </c>
      <c r="AK44" s="80">
        <v>0</v>
      </c>
      <c r="AL44" s="80">
        <v>0</v>
      </c>
      <c r="AM44" s="80">
        <v>0</v>
      </c>
      <c r="AN44" s="80">
        <v>0</v>
      </c>
      <c r="AO44" s="80">
        <v>0</v>
      </c>
      <c r="AP44" s="80">
        <v>0</v>
      </c>
      <c r="AQ44" s="80">
        <v>0</v>
      </c>
      <c r="AR44" s="80">
        <v>0</v>
      </c>
      <c r="AS44" s="80">
        <v>0</v>
      </c>
      <c r="AT44" s="66"/>
      <c r="AU44" s="76"/>
      <c r="AV44" s="78" t="str">
        <f t="shared" si="3"/>
        <v>MXN - Obligaciones por Fin de compras</v>
      </c>
      <c r="AW44" s="80">
        <v>0</v>
      </c>
      <c r="AX44" s="80">
        <v>0</v>
      </c>
      <c r="AY44" s="80">
        <v>0</v>
      </c>
      <c r="AZ44" s="80">
        <v>0</v>
      </c>
      <c r="BA44" s="80">
        <v>0</v>
      </c>
      <c r="BB44" s="80">
        <v>0</v>
      </c>
      <c r="BC44" s="80">
        <v>0</v>
      </c>
      <c r="BD44" s="80">
        <v>0</v>
      </c>
      <c r="BE44" s="80">
        <v>0</v>
      </c>
      <c r="BF44" s="80">
        <v>0</v>
      </c>
      <c r="BG44" s="80">
        <v>0</v>
      </c>
      <c r="BH44" s="80">
        <v>0</v>
      </c>
      <c r="BI44" s="66"/>
      <c r="BJ44" s="76"/>
      <c r="BK44" s="78" t="str">
        <f t="shared" si="4"/>
        <v>MXN - Obligaciones por Fin de compras</v>
      </c>
      <c r="BL44" s="81" t="s">
        <v>338</v>
      </c>
      <c r="BM44" s="81" t="s">
        <v>338</v>
      </c>
      <c r="BN44" s="81" t="s">
        <v>338</v>
      </c>
      <c r="BO44" s="81" t="s">
        <v>338</v>
      </c>
      <c r="BP44" s="81" t="s">
        <v>338</v>
      </c>
      <c r="BQ44" s="81" t="s">
        <v>338</v>
      </c>
      <c r="BR44" s="81" t="s">
        <v>338</v>
      </c>
      <c r="BS44" s="81" t="s">
        <v>338</v>
      </c>
      <c r="BT44" s="81" t="s">
        <v>338</v>
      </c>
      <c r="BU44" s="81" t="s">
        <v>338</v>
      </c>
      <c r="BV44" s="81" t="s">
        <v>338</v>
      </c>
      <c r="BW44" s="81" t="s">
        <v>338</v>
      </c>
      <c r="BX44" s="66"/>
      <c r="BY44" s="76"/>
      <c r="BZ44" s="78" t="str">
        <f t="shared" si="5"/>
        <v>MXN - Obligaciones por Fin de compras</v>
      </c>
      <c r="CA44" s="79">
        <v>1</v>
      </c>
      <c r="CB44" s="79">
        <v>1</v>
      </c>
      <c r="CC44" s="79">
        <v>1</v>
      </c>
      <c r="CD44" s="79">
        <v>1</v>
      </c>
      <c r="CE44" s="79">
        <v>1</v>
      </c>
      <c r="CF44" s="79">
        <v>1</v>
      </c>
      <c r="CG44" s="79">
        <v>1</v>
      </c>
      <c r="CH44" s="79">
        <v>1</v>
      </c>
      <c r="CI44" s="79">
        <v>1</v>
      </c>
      <c r="CJ44" s="79">
        <v>1</v>
      </c>
      <c r="CK44" s="79">
        <v>1</v>
      </c>
      <c r="CL44" s="79">
        <v>1</v>
      </c>
      <c r="CM44" s="66"/>
      <c r="CN44" s="76"/>
      <c r="CO44" s="78" t="str">
        <f t="shared" si="6"/>
        <v>MXN - Obligaciones por Fin de compras</v>
      </c>
      <c r="CP44" s="79">
        <v>0</v>
      </c>
      <c r="CQ44" s="79">
        <v>0</v>
      </c>
      <c r="CR44" s="79">
        <v>0</v>
      </c>
      <c r="CS44" s="79">
        <v>0</v>
      </c>
      <c r="CT44" s="79">
        <v>0</v>
      </c>
      <c r="CU44" s="79">
        <v>0</v>
      </c>
      <c r="CV44" s="79">
        <v>0</v>
      </c>
      <c r="CW44" s="79">
        <v>0</v>
      </c>
      <c r="CX44" s="79">
        <v>0</v>
      </c>
      <c r="CY44" s="79">
        <v>0</v>
      </c>
      <c r="CZ44" s="79">
        <v>0</v>
      </c>
      <c r="DA44" s="79">
        <v>0</v>
      </c>
      <c r="DB44" s="66"/>
      <c r="DC44" s="66"/>
      <c r="DD44" s="78" t="str">
        <f t="shared" si="7"/>
        <v>MXN - Obligaciones por Fin de compras</v>
      </c>
      <c r="DE44" s="79">
        <v>0</v>
      </c>
      <c r="DF44" s="79">
        <v>0</v>
      </c>
      <c r="DG44" s="79">
        <v>0</v>
      </c>
      <c r="DH44" s="79">
        <v>0</v>
      </c>
      <c r="DI44" s="79">
        <v>0</v>
      </c>
      <c r="DJ44" s="79">
        <v>0</v>
      </c>
      <c r="DK44" s="79">
        <v>0</v>
      </c>
      <c r="DL44" s="79">
        <v>0</v>
      </c>
      <c r="DM44" s="79">
        <v>0</v>
      </c>
      <c r="DN44" s="79">
        <v>0</v>
      </c>
      <c r="DO44" s="79">
        <v>0</v>
      </c>
      <c r="DP44" s="79">
        <v>0</v>
      </c>
      <c r="DQ44" s="66"/>
      <c r="DR44" s="76"/>
      <c r="DS44" s="78" t="str">
        <f t="shared" si="8"/>
        <v>MXN - Obligaciones por Fin de compras</v>
      </c>
      <c r="DT44" s="79">
        <v>0</v>
      </c>
      <c r="DU44" s="79">
        <v>0</v>
      </c>
      <c r="DV44" s="79">
        <v>0</v>
      </c>
      <c r="DW44" s="79">
        <v>0</v>
      </c>
      <c r="DX44" s="79">
        <v>0</v>
      </c>
      <c r="DY44" s="79">
        <v>0</v>
      </c>
      <c r="DZ44" s="79">
        <v>0</v>
      </c>
      <c r="EA44" s="79">
        <v>0</v>
      </c>
      <c r="EB44" s="79">
        <v>0</v>
      </c>
      <c r="EC44" s="79">
        <v>0</v>
      </c>
      <c r="ED44" s="79">
        <v>0</v>
      </c>
      <c r="EE44" s="79">
        <v>0</v>
      </c>
      <c r="EF44" s="66"/>
      <c r="EG44" s="76"/>
      <c r="EH44" s="78" t="str">
        <f t="shared" si="9"/>
        <v>MXN - Obligaciones por Fin de compras</v>
      </c>
      <c r="EI44" s="79">
        <v>0</v>
      </c>
      <c r="EJ44" s="79">
        <v>0</v>
      </c>
      <c r="EK44" s="79">
        <v>0</v>
      </c>
      <c r="EL44" s="79">
        <v>0</v>
      </c>
      <c r="EM44" s="79">
        <v>0</v>
      </c>
      <c r="EN44" s="79">
        <v>0</v>
      </c>
      <c r="EO44" s="79">
        <v>0</v>
      </c>
      <c r="EP44" s="79">
        <v>0</v>
      </c>
      <c r="EQ44" s="79">
        <v>0</v>
      </c>
      <c r="ER44" s="79">
        <v>0</v>
      </c>
      <c r="ES44" s="79">
        <v>0</v>
      </c>
      <c r="ET44" s="79">
        <v>0</v>
      </c>
      <c r="EU44" s="66"/>
      <c r="EV44" s="66"/>
      <c r="EW44" s="66"/>
      <c r="EX44" s="66"/>
      <c r="EY44" s="66"/>
      <c r="EZ44" s="66"/>
      <c r="FA44" s="66"/>
      <c r="FB44" s="66"/>
      <c r="FC44" s="66"/>
      <c r="FD44" s="66"/>
      <c r="FE44" s="66"/>
      <c r="FF44" s="66"/>
      <c r="FG44" s="66"/>
      <c r="FH44" s="66"/>
      <c r="FI44" s="66"/>
      <c r="FJ44" s="76"/>
      <c r="FK44" s="78" t="str">
        <f t="shared" si="10"/>
        <v>MXN - Obligaciones por Fin de compras</v>
      </c>
      <c r="FL44" s="79">
        <v>0</v>
      </c>
      <c r="FM44" s="79">
        <v>0</v>
      </c>
      <c r="FN44" s="79">
        <v>0</v>
      </c>
      <c r="FO44" s="79">
        <v>0</v>
      </c>
      <c r="FP44" s="79">
        <v>0</v>
      </c>
      <c r="FQ44" s="79">
        <v>0</v>
      </c>
      <c r="FR44" s="79">
        <v>0</v>
      </c>
      <c r="FS44" s="79">
        <v>0</v>
      </c>
      <c r="FT44" s="79">
        <v>0</v>
      </c>
      <c r="FU44" s="79">
        <v>0</v>
      </c>
      <c r="FV44" s="79">
        <v>0</v>
      </c>
      <c r="FW44" s="79">
        <v>0</v>
      </c>
      <c r="FX44" s="68"/>
      <c r="FY44" s="76"/>
      <c r="FZ44" s="78" t="str">
        <f t="shared" si="11"/>
        <v>MXN - Obligaciones por Fin de compras</v>
      </c>
      <c r="GA44" s="79" t="s">
        <v>338</v>
      </c>
      <c r="GB44" s="79" t="s">
        <v>338</v>
      </c>
      <c r="GC44" s="79" t="s">
        <v>338</v>
      </c>
      <c r="GD44" s="79" t="s">
        <v>338</v>
      </c>
      <c r="GE44" s="79" t="s">
        <v>338</v>
      </c>
      <c r="GF44" s="79" t="s">
        <v>338</v>
      </c>
      <c r="GG44" s="79" t="s">
        <v>338</v>
      </c>
      <c r="GH44" s="79" t="s">
        <v>338</v>
      </c>
      <c r="GI44" s="79" t="s">
        <v>338</v>
      </c>
      <c r="GJ44" s="79" t="s">
        <v>338</v>
      </c>
      <c r="GK44" s="79" t="s">
        <v>338</v>
      </c>
      <c r="GL44" s="79" t="s">
        <v>338</v>
      </c>
    </row>
    <row r="45" spans="1:194" ht="14.25" customHeight="1" x14ac:dyDescent="0.35">
      <c r="A45" s="65"/>
      <c r="B45" s="75"/>
      <c r="C45" s="76" t="s">
        <v>456</v>
      </c>
      <c r="D45" s="77">
        <v>0</v>
      </c>
      <c r="E45" s="77">
        <v>0</v>
      </c>
      <c r="F45" s="77">
        <v>0</v>
      </c>
      <c r="G45" s="77">
        <v>0</v>
      </c>
      <c r="H45" s="77">
        <v>0</v>
      </c>
      <c r="I45" s="77">
        <v>0</v>
      </c>
      <c r="J45" s="77">
        <v>0</v>
      </c>
      <c r="K45" s="77">
        <v>0</v>
      </c>
      <c r="L45" s="77">
        <v>0</v>
      </c>
      <c r="M45" s="77">
        <v>0</v>
      </c>
      <c r="N45" s="77">
        <v>0</v>
      </c>
      <c r="O45" s="77">
        <v>0</v>
      </c>
      <c r="P45" s="66"/>
      <c r="Q45" s="66"/>
      <c r="R45" s="78" t="str">
        <f t="shared" si="1"/>
        <v>MXN - Cuenta de Cuadre Pasivo</v>
      </c>
      <c r="S45" s="79">
        <v>0</v>
      </c>
      <c r="T45" s="79">
        <v>0</v>
      </c>
      <c r="U45" s="79">
        <v>0</v>
      </c>
      <c r="V45" s="79">
        <v>0</v>
      </c>
      <c r="W45" s="79">
        <v>0</v>
      </c>
      <c r="X45" s="79">
        <v>0</v>
      </c>
      <c r="Y45" s="79">
        <v>0</v>
      </c>
      <c r="Z45" s="79">
        <v>0</v>
      </c>
      <c r="AA45" s="79">
        <v>0</v>
      </c>
      <c r="AB45" s="79">
        <v>0</v>
      </c>
      <c r="AC45" s="79">
        <v>0</v>
      </c>
      <c r="AD45" s="79">
        <v>0</v>
      </c>
      <c r="AE45" s="66"/>
      <c r="AF45" s="75"/>
      <c r="AG45" s="78" t="str">
        <f t="shared" si="2"/>
        <v>MXN - Cuenta de Cuadre Pasivo</v>
      </c>
      <c r="AH45" s="80">
        <v>0</v>
      </c>
      <c r="AI45" s="80">
        <v>0</v>
      </c>
      <c r="AJ45" s="80">
        <v>0</v>
      </c>
      <c r="AK45" s="80">
        <v>0</v>
      </c>
      <c r="AL45" s="80">
        <v>0</v>
      </c>
      <c r="AM45" s="80">
        <v>0</v>
      </c>
      <c r="AN45" s="80">
        <v>0</v>
      </c>
      <c r="AO45" s="80">
        <v>0</v>
      </c>
      <c r="AP45" s="80">
        <v>0</v>
      </c>
      <c r="AQ45" s="80">
        <v>0</v>
      </c>
      <c r="AR45" s="80">
        <v>0</v>
      </c>
      <c r="AS45" s="80">
        <v>0</v>
      </c>
      <c r="AT45" s="66"/>
      <c r="AU45" s="76"/>
      <c r="AV45" s="78" t="str">
        <f t="shared" si="3"/>
        <v>MXN - Cuenta de Cuadre Pasivo</v>
      </c>
      <c r="AW45" s="80">
        <v>0</v>
      </c>
      <c r="AX45" s="80">
        <v>0</v>
      </c>
      <c r="AY45" s="80">
        <v>0</v>
      </c>
      <c r="AZ45" s="80">
        <v>0</v>
      </c>
      <c r="BA45" s="80">
        <v>0</v>
      </c>
      <c r="BB45" s="80">
        <v>0</v>
      </c>
      <c r="BC45" s="80">
        <v>0</v>
      </c>
      <c r="BD45" s="80">
        <v>0</v>
      </c>
      <c r="BE45" s="80">
        <v>0</v>
      </c>
      <c r="BF45" s="80">
        <v>0</v>
      </c>
      <c r="BG45" s="80">
        <v>0</v>
      </c>
      <c r="BH45" s="80">
        <v>0</v>
      </c>
      <c r="BI45" s="66"/>
      <c r="BJ45" s="76"/>
      <c r="BK45" s="78" t="str">
        <f t="shared" si="4"/>
        <v>MXN - Cuenta de Cuadre Pasivo</v>
      </c>
      <c r="BL45" s="81" t="s">
        <v>338</v>
      </c>
      <c r="BM45" s="81" t="s">
        <v>338</v>
      </c>
      <c r="BN45" s="81" t="s">
        <v>338</v>
      </c>
      <c r="BO45" s="81" t="s">
        <v>338</v>
      </c>
      <c r="BP45" s="81" t="s">
        <v>338</v>
      </c>
      <c r="BQ45" s="81" t="s">
        <v>338</v>
      </c>
      <c r="BR45" s="81" t="s">
        <v>338</v>
      </c>
      <c r="BS45" s="81" t="s">
        <v>338</v>
      </c>
      <c r="BT45" s="81" t="s">
        <v>338</v>
      </c>
      <c r="BU45" s="81" t="s">
        <v>338</v>
      </c>
      <c r="BV45" s="81" t="s">
        <v>338</v>
      </c>
      <c r="BW45" s="81" t="s">
        <v>338</v>
      </c>
      <c r="BX45" s="66"/>
      <c r="BY45" s="76"/>
      <c r="BZ45" s="78" t="str">
        <f t="shared" si="5"/>
        <v>MXN - Cuenta de Cuadre Pasivo</v>
      </c>
      <c r="CA45" s="79">
        <v>1</v>
      </c>
      <c r="CB45" s="79">
        <v>1</v>
      </c>
      <c r="CC45" s="79">
        <v>1</v>
      </c>
      <c r="CD45" s="79">
        <v>1</v>
      </c>
      <c r="CE45" s="79">
        <v>1</v>
      </c>
      <c r="CF45" s="79">
        <v>1</v>
      </c>
      <c r="CG45" s="79">
        <v>1</v>
      </c>
      <c r="CH45" s="79">
        <v>1</v>
      </c>
      <c r="CI45" s="79">
        <v>1</v>
      </c>
      <c r="CJ45" s="79">
        <v>1</v>
      </c>
      <c r="CK45" s="79">
        <v>1</v>
      </c>
      <c r="CL45" s="79">
        <v>1</v>
      </c>
      <c r="CM45" s="66"/>
      <c r="CN45" s="76"/>
      <c r="CO45" s="78" t="str">
        <f t="shared" si="6"/>
        <v>MXN - Cuenta de Cuadre Pasivo</v>
      </c>
      <c r="CP45" s="79">
        <v>0</v>
      </c>
      <c r="CQ45" s="79">
        <v>0</v>
      </c>
      <c r="CR45" s="79">
        <v>0</v>
      </c>
      <c r="CS45" s="79">
        <v>0</v>
      </c>
      <c r="CT45" s="79">
        <v>0</v>
      </c>
      <c r="CU45" s="79">
        <v>0</v>
      </c>
      <c r="CV45" s="79">
        <v>0</v>
      </c>
      <c r="CW45" s="79">
        <v>0</v>
      </c>
      <c r="CX45" s="79">
        <v>0</v>
      </c>
      <c r="CY45" s="79">
        <v>0</v>
      </c>
      <c r="CZ45" s="79">
        <v>0</v>
      </c>
      <c r="DA45" s="79">
        <v>0</v>
      </c>
      <c r="DB45" s="66"/>
      <c r="DC45" s="66"/>
      <c r="DD45" s="78" t="str">
        <f t="shared" si="7"/>
        <v>MXN - Cuenta de Cuadre Pasivo</v>
      </c>
      <c r="DE45" s="79">
        <v>0</v>
      </c>
      <c r="DF45" s="79">
        <v>0</v>
      </c>
      <c r="DG45" s="79">
        <v>0</v>
      </c>
      <c r="DH45" s="79">
        <v>0</v>
      </c>
      <c r="DI45" s="79">
        <v>0</v>
      </c>
      <c r="DJ45" s="79">
        <v>0</v>
      </c>
      <c r="DK45" s="79">
        <v>0</v>
      </c>
      <c r="DL45" s="79">
        <v>0</v>
      </c>
      <c r="DM45" s="79">
        <v>0</v>
      </c>
      <c r="DN45" s="79">
        <v>0</v>
      </c>
      <c r="DO45" s="79">
        <v>0</v>
      </c>
      <c r="DP45" s="79">
        <v>0</v>
      </c>
      <c r="DQ45" s="66"/>
      <c r="DR45" s="76"/>
      <c r="DS45" s="78" t="str">
        <f t="shared" si="8"/>
        <v>MXN - Cuenta de Cuadre Pasivo</v>
      </c>
      <c r="DT45" s="79">
        <v>0</v>
      </c>
      <c r="DU45" s="79">
        <v>0</v>
      </c>
      <c r="DV45" s="79">
        <v>0</v>
      </c>
      <c r="DW45" s="79">
        <v>0</v>
      </c>
      <c r="DX45" s="79">
        <v>0</v>
      </c>
      <c r="DY45" s="79">
        <v>0</v>
      </c>
      <c r="DZ45" s="79">
        <v>0</v>
      </c>
      <c r="EA45" s="79">
        <v>0</v>
      </c>
      <c r="EB45" s="79">
        <v>0</v>
      </c>
      <c r="EC45" s="79">
        <v>0</v>
      </c>
      <c r="ED45" s="79">
        <v>0</v>
      </c>
      <c r="EE45" s="79">
        <v>0</v>
      </c>
      <c r="EF45" s="66"/>
      <c r="EG45" s="76"/>
      <c r="EH45" s="78" t="str">
        <f t="shared" si="9"/>
        <v>MXN - Cuenta de Cuadre Pasivo</v>
      </c>
      <c r="EI45" s="79">
        <v>0</v>
      </c>
      <c r="EJ45" s="79">
        <v>0</v>
      </c>
      <c r="EK45" s="79">
        <v>0</v>
      </c>
      <c r="EL45" s="79">
        <v>0</v>
      </c>
      <c r="EM45" s="79">
        <v>0</v>
      </c>
      <c r="EN45" s="79">
        <v>0</v>
      </c>
      <c r="EO45" s="79">
        <v>0</v>
      </c>
      <c r="EP45" s="79">
        <v>0</v>
      </c>
      <c r="EQ45" s="79">
        <v>0</v>
      </c>
      <c r="ER45" s="79">
        <v>0</v>
      </c>
      <c r="ES45" s="79">
        <v>0</v>
      </c>
      <c r="ET45" s="79">
        <v>0</v>
      </c>
      <c r="EU45" s="66"/>
      <c r="EV45" s="66"/>
      <c r="EW45" s="66"/>
      <c r="EX45" s="66"/>
      <c r="EY45" s="66"/>
      <c r="EZ45" s="66"/>
      <c r="FA45" s="66"/>
      <c r="FB45" s="66"/>
      <c r="FC45" s="66"/>
      <c r="FD45" s="66"/>
      <c r="FE45" s="66"/>
      <c r="FF45" s="66"/>
      <c r="FG45" s="66"/>
      <c r="FH45" s="66"/>
      <c r="FI45" s="66"/>
      <c r="FJ45" s="76"/>
      <c r="FK45" s="78" t="str">
        <f t="shared" si="10"/>
        <v>MXN - Cuenta de Cuadre Pasivo</v>
      </c>
      <c r="FL45" s="79">
        <v>0</v>
      </c>
      <c r="FM45" s="79">
        <v>0</v>
      </c>
      <c r="FN45" s="79">
        <v>0</v>
      </c>
      <c r="FO45" s="79">
        <v>0</v>
      </c>
      <c r="FP45" s="79">
        <v>0</v>
      </c>
      <c r="FQ45" s="79">
        <v>0</v>
      </c>
      <c r="FR45" s="79">
        <v>0</v>
      </c>
      <c r="FS45" s="79">
        <v>0</v>
      </c>
      <c r="FT45" s="79">
        <v>0</v>
      </c>
      <c r="FU45" s="79">
        <v>0</v>
      </c>
      <c r="FV45" s="79">
        <v>0</v>
      </c>
      <c r="FW45" s="79">
        <v>0</v>
      </c>
      <c r="FX45" s="68"/>
      <c r="FY45" s="76"/>
      <c r="FZ45" s="78" t="str">
        <f t="shared" si="11"/>
        <v>MXN - Cuenta de Cuadre Pasivo</v>
      </c>
      <c r="GA45" s="79" t="s">
        <v>338</v>
      </c>
      <c r="GB45" s="79" t="s">
        <v>338</v>
      </c>
      <c r="GC45" s="79" t="s">
        <v>338</v>
      </c>
      <c r="GD45" s="79" t="s">
        <v>338</v>
      </c>
      <c r="GE45" s="79" t="s">
        <v>338</v>
      </c>
      <c r="GF45" s="79" t="s">
        <v>338</v>
      </c>
      <c r="GG45" s="79" t="s">
        <v>338</v>
      </c>
      <c r="GH45" s="79" t="s">
        <v>338</v>
      </c>
      <c r="GI45" s="79" t="s">
        <v>338</v>
      </c>
      <c r="GJ45" s="79" t="s">
        <v>338</v>
      </c>
      <c r="GK45" s="79" t="s">
        <v>338</v>
      </c>
      <c r="GL45" s="79" t="s">
        <v>338</v>
      </c>
    </row>
    <row r="46" spans="1:194" ht="14.25" customHeight="1" x14ac:dyDescent="0.35">
      <c r="A46" s="65"/>
      <c r="B46" s="75"/>
      <c r="C46" s="76" t="s">
        <v>385</v>
      </c>
      <c r="D46" s="77">
        <v>0</v>
      </c>
      <c r="E46" s="77">
        <v>0</v>
      </c>
      <c r="F46" s="77">
        <v>0</v>
      </c>
      <c r="G46" s="77">
        <v>0</v>
      </c>
      <c r="H46" s="77">
        <v>0</v>
      </c>
      <c r="I46" s="77">
        <v>0</v>
      </c>
      <c r="J46" s="77">
        <v>0</v>
      </c>
      <c r="K46" s="77">
        <v>0</v>
      </c>
      <c r="L46" s="77">
        <v>0</v>
      </c>
      <c r="M46" s="77">
        <v>0</v>
      </c>
      <c r="N46" s="77">
        <v>0</v>
      </c>
      <c r="O46" s="77">
        <v>0</v>
      </c>
      <c r="P46" s="66"/>
      <c r="Q46" s="66"/>
      <c r="R46" s="78" t="str">
        <f t="shared" si="1"/>
        <v>USD - Deuda del Estado Fija</v>
      </c>
      <c r="S46" s="79">
        <v>0</v>
      </c>
      <c r="T46" s="79">
        <v>0</v>
      </c>
      <c r="U46" s="79">
        <v>0</v>
      </c>
      <c r="V46" s="79">
        <v>0</v>
      </c>
      <c r="W46" s="79">
        <v>0</v>
      </c>
      <c r="X46" s="79">
        <v>0</v>
      </c>
      <c r="Y46" s="79">
        <v>0</v>
      </c>
      <c r="Z46" s="79">
        <v>0</v>
      </c>
      <c r="AA46" s="79">
        <v>0</v>
      </c>
      <c r="AB46" s="79">
        <v>0</v>
      </c>
      <c r="AC46" s="79">
        <v>0</v>
      </c>
      <c r="AD46" s="79">
        <v>0</v>
      </c>
      <c r="AE46" s="66"/>
      <c r="AF46" s="75"/>
      <c r="AG46" s="78" t="str">
        <f t="shared" si="2"/>
        <v>USD - Deuda del Estado Fija</v>
      </c>
      <c r="AH46" s="80">
        <v>0</v>
      </c>
      <c r="AI46" s="80">
        <v>0</v>
      </c>
      <c r="AJ46" s="80">
        <v>0</v>
      </c>
      <c r="AK46" s="80">
        <v>0</v>
      </c>
      <c r="AL46" s="80">
        <v>0</v>
      </c>
      <c r="AM46" s="80">
        <v>0</v>
      </c>
      <c r="AN46" s="80">
        <v>0</v>
      </c>
      <c r="AO46" s="80">
        <v>0</v>
      </c>
      <c r="AP46" s="80">
        <v>0</v>
      </c>
      <c r="AQ46" s="80">
        <v>0</v>
      </c>
      <c r="AR46" s="80">
        <v>0</v>
      </c>
      <c r="AS46" s="80">
        <v>0</v>
      </c>
      <c r="AT46" s="66"/>
      <c r="AU46" s="76"/>
      <c r="AV46" s="78" t="str">
        <f t="shared" si="3"/>
        <v>USD - Deuda del Estado Fija</v>
      </c>
      <c r="AW46" s="80">
        <v>0</v>
      </c>
      <c r="AX46" s="80">
        <v>0</v>
      </c>
      <c r="AY46" s="80">
        <v>0</v>
      </c>
      <c r="AZ46" s="80">
        <v>0</v>
      </c>
      <c r="BA46" s="80">
        <v>0</v>
      </c>
      <c r="BB46" s="80">
        <v>0</v>
      </c>
      <c r="BC46" s="80">
        <v>0</v>
      </c>
      <c r="BD46" s="80">
        <v>0</v>
      </c>
      <c r="BE46" s="80">
        <v>0</v>
      </c>
      <c r="BF46" s="80">
        <v>0</v>
      </c>
      <c r="BG46" s="80">
        <v>0</v>
      </c>
      <c r="BH46" s="80">
        <v>0</v>
      </c>
      <c r="BI46" s="66"/>
      <c r="BJ46" s="76"/>
      <c r="BK46" s="78" t="str">
        <f t="shared" si="4"/>
        <v>USD - Deuda del Estado Fija</v>
      </c>
      <c r="BL46" s="81" t="s">
        <v>338</v>
      </c>
      <c r="BM46" s="81" t="s">
        <v>338</v>
      </c>
      <c r="BN46" s="81" t="s">
        <v>338</v>
      </c>
      <c r="BO46" s="81" t="s">
        <v>338</v>
      </c>
      <c r="BP46" s="81" t="s">
        <v>338</v>
      </c>
      <c r="BQ46" s="81" t="s">
        <v>338</v>
      </c>
      <c r="BR46" s="81" t="s">
        <v>338</v>
      </c>
      <c r="BS46" s="81" t="s">
        <v>338</v>
      </c>
      <c r="BT46" s="81" t="s">
        <v>338</v>
      </c>
      <c r="BU46" s="81" t="s">
        <v>338</v>
      </c>
      <c r="BV46" s="81" t="s">
        <v>338</v>
      </c>
      <c r="BW46" s="81" t="s">
        <v>338</v>
      </c>
      <c r="BX46" s="66"/>
      <c r="BY46" s="76"/>
      <c r="BZ46" s="78" t="str">
        <f t="shared" si="5"/>
        <v>USD - Deuda del Estado Fija</v>
      </c>
      <c r="CA46" s="79">
        <v>1</v>
      </c>
      <c r="CB46" s="79">
        <v>1</v>
      </c>
      <c r="CC46" s="79">
        <v>1</v>
      </c>
      <c r="CD46" s="79">
        <v>1</v>
      </c>
      <c r="CE46" s="79">
        <v>1</v>
      </c>
      <c r="CF46" s="79">
        <v>1</v>
      </c>
      <c r="CG46" s="79">
        <v>1</v>
      </c>
      <c r="CH46" s="79">
        <v>1</v>
      </c>
      <c r="CI46" s="79">
        <v>1</v>
      </c>
      <c r="CJ46" s="79">
        <v>1</v>
      </c>
      <c r="CK46" s="79">
        <v>1</v>
      </c>
      <c r="CL46" s="79">
        <v>1</v>
      </c>
      <c r="CM46" s="66"/>
      <c r="CN46" s="76"/>
      <c r="CO46" s="78" t="str">
        <f t="shared" si="6"/>
        <v>USD - Deuda del Estado Fija</v>
      </c>
      <c r="CP46" s="79">
        <v>0</v>
      </c>
      <c r="CQ46" s="79">
        <v>0</v>
      </c>
      <c r="CR46" s="79">
        <v>0</v>
      </c>
      <c r="CS46" s="79">
        <v>0</v>
      </c>
      <c r="CT46" s="79">
        <v>0</v>
      </c>
      <c r="CU46" s="79">
        <v>0</v>
      </c>
      <c r="CV46" s="79">
        <v>0</v>
      </c>
      <c r="CW46" s="79">
        <v>0</v>
      </c>
      <c r="CX46" s="79">
        <v>0</v>
      </c>
      <c r="CY46" s="79">
        <v>0</v>
      </c>
      <c r="CZ46" s="79">
        <v>0</v>
      </c>
      <c r="DA46" s="79">
        <v>0</v>
      </c>
      <c r="DB46" s="66"/>
      <c r="DC46" s="66"/>
      <c r="DD46" s="78" t="str">
        <f t="shared" si="7"/>
        <v>USD - Deuda del Estado Fija</v>
      </c>
      <c r="DE46" s="79">
        <v>0</v>
      </c>
      <c r="DF46" s="79">
        <v>0</v>
      </c>
      <c r="DG46" s="79">
        <v>0</v>
      </c>
      <c r="DH46" s="79">
        <v>0</v>
      </c>
      <c r="DI46" s="79">
        <v>0</v>
      </c>
      <c r="DJ46" s="79">
        <v>0</v>
      </c>
      <c r="DK46" s="79">
        <v>0</v>
      </c>
      <c r="DL46" s="79">
        <v>0</v>
      </c>
      <c r="DM46" s="79">
        <v>0</v>
      </c>
      <c r="DN46" s="79">
        <v>0</v>
      </c>
      <c r="DO46" s="79">
        <v>0</v>
      </c>
      <c r="DP46" s="79">
        <v>0</v>
      </c>
      <c r="DQ46" s="66"/>
      <c r="DR46" s="76"/>
      <c r="DS46" s="78" t="str">
        <f t="shared" si="8"/>
        <v>USD - Deuda del Estado Fija</v>
      </c>
      <c r="DT46" s="79">
        <v>0</v>
      </c>
      <c r="DU46" s="79">
        <v>0</v>
      </c>
      <c r="DV46" s="79">
        <v>0</v>
      </c>
      <c r="DW46" s="79">
        <v>0</v>
      </c>
      <c r="DX46" s="79">
        <v>0</v>
      </c>
      <c r="DY46" s="79">
        <v>0</v>
      </c>
      <c r="DZ46" s="79">
        <v>0</v>
      </c>
      <c r="EA46" s="79">
        <v>0</v>
      </c>
      <c r="EB46" s="79">
        <v>0</v>
      </c>
      <c r="EC46" s="79">
        <v>0</v>
      </c>
      <c r="ED46" s="79">
        <v>0</v>
      </c>
      <c r="EE46" s="79">
        <v>0</v>
      </c>
      <c r="EF46" s="66"/>
      <c r="EG46" s="76"/>
      <c r="EH46" s="78" t="str">
        <f t="shared" si="9"/>
        <v>USD - Deuda del Estado Fija</v>
      </c>
      <c r="EI46" s="79">
        <v>0</v>
      </c>
      <c r="EJ46" s="79">
        <v>0</v>
      </c>
      <c r="EK46" s="79">
        <v>0</v>
      </c>
      <c r="EL46" s="79">
        <v>0</v>
      </c>
      <c r="EM46" s="79">
        <v>0</v>
      </c>
      <c r="EN46" s="79">
        <v>0</v>
      </c>
      <c r="EO46" s="79">
        <v>0</v>
      </c>
      <c r="EP46" s="79">
        <v>0</v>
      </c>
      <c r="EQ46" s="79">
        <v>0</v>
      </c>
      <c r="ER46" s="79">
        <v>0</v>
      </c>
      <c r="ES46" s="79">
        <v>0</v>
      </c>
      <c r="ET46" s="79">
        <v>0</v>
      </c>
      <c r="EU46" s="66"/>
      <c r="EV46" s="66"/>
      <c r="EW46" s="66"/>
      <c r="EX46" s="66"/>
      <c r="EY46" s="66"/>
      <c r="EZ46" s="66"/>
      <c r="FA46" s="66"/>
      <c r="FB46" s="66"/>
      <c r="FC46" s="66"/>
      <c r="FD46" s="66"/>
      <c r="FE46" s="66"/>
      <c r="FF46" s="66"/>
      <c r="FG46" s="66"/>
      <c r="FH46" s="66"/>
      <c r="FI46" s="66"/>
      <c r="FJ46" s="76"/>
      <c r="FK46" s="78" t="str">
        <f t="shared" si="10"/>
        <v>USD - Deuda del Estado Fija</v>
      </c>
      <c r="FL46" s="79">
        <v>0</v>
      </c>
      <c r="FM46" s="79">
        <v>0</v>
      </c>
      <c r="FN46" s="79">
        <v>0</v>
      </c>
      <c r="FO46" s="79">
        <v>0</v>
      </c>
      <c r="FP46" s="79">
        <v>0</v>
      </c>
      <c r="FQ46" s="79">
        <v>0</v>
      </c>
      <c r="FR46" s="79">
        <v>0</v>
      </c>
      <c r="FS46" s="79">
        <v>0</v>
      </c>
      <c r="FT46" s="79">
        <v>0</v>
      </c>
      <c r="FU46" s="79">
        <v>0</v>
      </c>
      <c r="FV46" s="79">
        <v>0</v>
      </c>
      <c r="FW46" s="79">
        <v>0</v>
      </c>
      <c r="FX46" s="68"/>
      <c r="FY46" s="76"/>
      <c r="FZ46" s="78" t="str">
        <f t="shared" si="11"/>
        <v>USD - Deuda del Estado Fija</v>
      </c>
      <c r="GA46" s="79" t="s">
        <v>338</v>
      </c>
      <c r="GB46" s="79" t="s">
        <v>338</v>
      </c>
      <c r="GC46" s="79" t="s">
        <v>338</v>
      </c>
      <c r="GD46" s="79" t="s">
        <v>338</v>
      </c>
      <c r="GE46" s="79" t="s">
        <v>338</v>
      </c>
      <c r="GF46" s="79" t="s">
        <v>338</v>
      </c>
      <c r="GG46" s="79" t="s">
        <v>338</v>
      </c>
      <c r="GH46" s="79" t="s">
        <v>338</v>
      </c>
      <c r="GI46" s="79" t="s">
        <v>338</v>
      </c>
      <c r="GJ46" s="79" t="s">
        <v>338</v>
      </c>
      <c r="GK46" s="79" t="s">
        <v>338</v>
      </c>
      <c r="GL46" s="79" t="s">
        <v>338</v>
      </c>
    </row>
    <row r="47" spans="1:194" ht="14.25" customHeight="1" x14ac:dyDescent="0.35">
      <c r="A47" s="65"/>
      <c r="B47" s="75"/>
      <c r="C47" s="76" t="s">
        <v>386</v>
      </c>
      <c r="D47" s="77">
        <v>0</v>
      </c>
      <c r="E47" s="77">
        <v>0</v>
      </c>
      <c r="F47" s="77">
        <v>0</v>
      </c>
      <c r="G47" s="77">
        <v>0</v>
      </c>
      <c r="H47" s="77">
        <v>0</v>
      </c>
      <c r="I47" s="77">
        <v>0</v>
      </c>
      <c r="J47" s="77">
        <v>0</v>
      </c>
      <c r="K47" s="77">
        <v>0</v>
      </c>
      <c r="L47" s="77">
        <v>0</v>
      </c>
      <c r="M47" s="77">
        <v>0</v>
      </c>
      <c r="N47" s="77">
        <v>0</v>
      </c>
      <c r="O47" s="77">
        <v>0</v>
      </c>
      <c r="P47" s="66"/>
      <c r="Q47" s="66"/>
      <c r="R47" s="78" t="str">
        <f t="shared" si="1"/>
        <v>USD - Deuda del Estado Variable</v>
      </c>
      <c r="S47" s="79">
        <v>0</v>
      </c>
      <c r="T47" s="79">
        <v>0</v>
      </c>
      <c r="U47" s="79">
        <v>0</v>
      </c>
      <c r="V47" s="79">
        <v>0</v>
      </c>
      <c r="W47" s="79">
        <v>0</v>
      </c>
      <c r="X47" s="79">
        <v>0</v>
      </c>
      <c r="Y47" s="79">
        <v>0</v>
      </c>
      <c r="Z47" s="79">
        <v>0</v>
      </c>
      <c r="AA47" s="79">
        <v>0</v>
      </c>
      <c r="AB47" s="79">
        <v>0</v>
      </c>
      <c r="AC47" s="79">
        <v>0</v>
      </c>
      <c r="AD47" s="79">
        <v>0</v>
      </c>
      <c r="AE47" s="66"/>
      <c r="AF47" s="75"/>
      <c r="AG47" s="78" t="str">
        <f t="shared" si="2"/>
        <v>USD - Deuda del Estado Variable</v>
      </c>
      <c r="AH47" s="80">
        <v>0</v>
      </c>
      <c r="AI47" s="80">
        <v>0</v>
      </c>
      <c r="AJ47" s="80">
        <v>0</v>
      </c>
      <c r="AK47" s="80">
        <v>0</v>
      </c>
      <c r="AL47" s="80">
        <v>0</v>
      </c>
      <c r="AM47" s="80">
        <v>0</v>
      </c>
      <c r="AN47" s="80">
        <v>0</v>
      </c>
      <c r="AO47" s="80">
        <v>0</v>
      </c>
      <c r="AP47" s="80">
        <v>0</v>
      </c>
      <c r="AQ47" s="80">
        <v>0</v>
      </c>
      <c r="AR47" s="80">
        <v>0</v>
      </c>
      <c r="AS47" s="80">
        <v>0</v>
      </c>
      <c r="AT47" s="66"/>
      <c r="AU47" s="76"/>
      <c r="AV47" s="78" t="str">
        <f t="shared" si="3"/>
        <v>USD - Deuda del Estado Variable</v>
      </c>
      <c r="AW47" s="80">
        <v>0</v>
      </c>
      <c r="AX47" s="80">
        <v>0</v>
      </c>
      <c r="AY47" s="80">
        <v>0</v>
      </c>
      <c r="AZ47" s="80">
        <v>0</v>
      </c>
      <c r="BA47" s="80">
        <v>0</v>
      </c>
      <c r="BB47" s="80">
        <v>0</v>
      </c>
      <c r="BC47" s="80">
        <v>0</v>
      </c>
      <c r="BD47" s="80">
        <v>0</v>
      </c>
      <c r="BE47" s="80">
        <v>0</v>
      </c>
      <c r="BF47" s="80">
        <v>0</v>
      </c>
      <c r="BG47" s="80">
        <v>0</v>
      </c>
      <c r="BH47" s="80">
        <v>0</v>
      </c>
      <c r="BI47" s="66"/>
      <c r="BJ47" s="76"/>
      <c r="BK47" s="78" t="str">
        <f t="shared" si="4"/>
        <v>USD - Deuda del Estado Variable</v>
      </c>
      <c r="BL47" s="81" t="s">
        <v>338</v>
      </c>
      <c r="BM47" s="81" t="s">
        <v>338</v>
      </c>
      <c r="BN47" s="81" t="s">
        <v>338</v>
      </c>
      <c r="BO47" s="81" t="s">
        <v>338</v>
      </c>
      <c r="BP47" s="81" t="s">
        <v>338</v>
      </c>
      <c r="BQ47" s="81" t="s">
        <v>338</v>
      </c>
      <c r="BR47" s="81" t="s">
        <v>338</v>
      </c>
      <c r="BS47" s="81" t="s">
        <v>338</v>
      </c>
      <c r="BT47" s="81" t="s">
        <v>338</v>
      </c>
      <c r="BU47" s="81" t="s">
        <v>338</v>
      </c>
      <c r="BV47" s="81" t="s">
        <v>338</v>
      </c>
      <c r="BW47" s="81" t="s">
        <v>338</v>
      </c>
      <c r="BX47" s="66"/>
      <c r="BY47" s="76"/>
      <c r="BZ47" s="78" t="str">
        <f t="shared" si="5"/>
        <v>USD - Deuda del Estado Variable</v>
      </c>
      <c r="CA47" s="79">
        <v>1</v>
      </c>
      <c r="CB47" s="79">
        <v>1</v>
      </c>
      <c r="CC47" s="79">
        <v>1</v>
      </c>
      <c r="CD47" s="79">
        <v>1</v>
      </c>
      <c r="CE47" s="79">
        <v>1</v>
      </c>
      <c r="CF47" s="79">
        <v>1</v>
      </c>
      <c r="CG47" s="79">
        <v>1</v>
      </c>
      <c r="CH47" s="79">
        <v>1</v>
      </c>
      <c r="CI47" s="79">
        <v>1</v>
      </c>
      <c r="CJ47" s="79">
        <v>1</v>
      </c>
      <c r="CK47" s="79">
        <v>1</v>
      </c>
      <c r="CL47" s="79">
        <v>1</v>
      </c>
      <c r="CM47" s="66"/>
      <c r="CN47" s="76"/>
      <c r="CO47" s="78" t="str">
        <f t="shared" si="6"/>
        <v>USD - Deuda del Estado Variable</v>
      </c>
      <c r="CP47" s="79">
        <v>0</v>
      </c>
      <c r="CQ47" s="79">
        <v>0</v>
      </c>
      <c r="CR47" s="79">
        <v>0</v>
      </c>
      <c r="CS47" s="79">
        <v>0</v>
      </c>
      <c r="CT47" s="79">
        <v>0</v>
      </c>
      <c r="CU47" s="79">
        <v>0</v>
      </c>
      <c r="CV47" s="79">
        <v>0</v>
      </c>
      <c r="CW47" s="79">
        <v>0</v>
      </c>
      <c r="CX47" s="79">
        <v>0</v>
      </c>
      <c r="CY47" s="79">
        <v>0</v>
      </c>
      <c r="CZ47" s="79">
        <v>0</v>
      </c>
      <c r="DA47" s="79">
        <v>0</v>
      </c>
      <c r="DB47" s="66"/>
      <c r="DC47" s="66"/>
      <c r="DD47" s="78" t="str">
        <f t="shared" si="7"/>
        <v>USD - Deuda del Estado Variable</v>
      </c>
      <c r="DE47" s="79">
        <v>0</v>
      </c>
      <c r="DF47" s="79">
        <v>0</v>
      </c>
      <c r="DG47" s="79">
        <v>0</v>
      </c>
      <c r="DH47" s="79">
        <v>0</v>
      </c>
      <c r="DI47" s="79">
        <v>0</v>
      </c>
      <c r="DJ47" s="79">
        <v>0</v>
      </c>
      <c r="DK47" s="79">
        <v>0</v>
      </c>
      <c r="DL47" s="79">
        <v>0</v>
      </c>
      <c r="DM47" s="79">
        <v>0</v>
      </c>
      <c r="DN47" s="79">
        <v>0</v>
      </c>
      <c r="DO47" s="79">
        <v>0</v>
      </c>
      <c r="DP47" s="79">
        <v>0</v>
      </c>
      <c r="DQ47" s="66"/>
      <c r="DR47" s="76"/>
      <c r="DS47" s="78" t="str">
        <f t="shared" si="8"/>
        <v>USD - Deuda del Estado Variable</v>
      </c>
      <c r="DT47" s="79">
        <v>0</v>
      </c>
      <c r="DU47" s="79">
        <v>0</v>
      </c>
      <c r="DV47" s="79">
        <v>0</v>
      </c>
      <c r="DW47" s="79">
        <v>0</v>
      </c>
      <c r="DX47" s="79">
        <v>0</v>
      </c>
      <c r="DY47" s="79">
        <v>0</v>
      </c>
      <c r="DZ47" s="79">
        <v>0</v>
      </c>
      <c r="EA47" s="79">
        <v>0</v>
      </c>
      <c r="EB47" s="79">
        <v>0</v>
      </c>
      <c r="EC47" s="79">
        <v>0</v>
      </c>
      <c r="ED47" s="79">
        <v>0</v>
      </c>
      <c r="EE47" s="79">
        <v>0</v>
      </c>
      <c r="EF47" s="66"/>
      <c r="EG47" s="76"/>
      <c r="EH47" s="78" t="str">
        <f t="shared" si="9"/>
        <v>USD - Deuda del Estado Variable</v>
      </c>
      <c r="EI47" s="79">
        <v>0</v>
      </c>
      <c r="EJ47" s="79">
        <v>0</v>
      </c>
      <c r="EK47" s="79">
        <v>0</v>
      </c>
      <c r="EL47" s="79">
        <v>0</v>
      </c>
      <c r="EM47" s="79">
        <v>0</v>
      </c>
      <c r="EN47" s="79">
        <v>0</v>
      </c>
      <c r="EO47" s="79">
        <v>0</v>
      </c>
      <c r="EP47" s="79">
        <v>0</v>
      </c>
      <c r="EQ47" s="79">
        <v>0</v>
      </c>
      <c r="ER47" s="79">
        <v>0</v>
      </c>
      <c r="ES47" s="79">
        <v>0</v>
      </c>
      <c r="ET47" s="79">
        <v>0</v>
      </c>
      <c r="EU47" s="66"/>
      <c r="EV47" s="66"/>
      <c r="EW47" s="66"/>
      <c r="EX47" s="66"/>
      <c r="EY47" s="66"/>
      <c r="EZ47" s="66"/>
      <c r="FA47" s="66"/>
      <c r="FB47" s="66"/>
      <c r="FC47" s="66"/>
      <c r="FD47" s="66"/>
      <c r="FE47" s="66"/>
      <c r="FF47" s="66"/>
      <c r="FG47" s="66"/>
      <c r="FH47" s="66"/>
      <c r="FI47" s="66"/>
      <c r="FJ47" s="76"/>
      <c r="FK47" s="78" t="str">
        <f t="shared" si="10"/>
        <v>USD - Deuda del Estado Variable</v>
      </c>
      <c r="FL47" s="79">
        <v>0</v>
      </c>
      <c r="FM47" s="79">
        <v>0</v>
      </c>
      <c r="FN47" s="79">
        <v>0</v>
      </c>
      <c r="FO47" s="79">
        <v>0</v>
      </c>
      <c r="FP47" s="79">
        <v>0</v>
      </c>
      <c r="FQ47" s="79">
        <v>0</v>
      </c>
      <c r="FR47" s="79">
        <v>0</v>
      </c>
      <c r="FS47" s="79">
        <v>0</v>
      </c>
      <c r="FT47" s="79">
        <v>0</v>
      </c>
      <c r="FU47" s="79">
        <v>0</v>
      </c>
      <c r="FV47" s="79">
        <v>0</v>
      </c>
      <c r="FW47" s="79">
        <v>0</v>
      </c>
      <c r="FX47" s="68"/>
      <c r="FY47" s="76"/>
      <c r="FZ47" s="78" t="str">
        <f t="shared" si="11"/>
        <v>USD - Deuda del Estado Variable</v>
      </c>
      <c r="GA47" s="79" t="s">
        <v>338</v>
      </c>
      <c r="GB47" s="79" t="s">
        <v>338</v>
      </c>
      <c r="GC47" s="79" t="s">
        <v>338</v>
      </c>
      <c r="GD47" s="79" t="s">
        <v>338</v>
      </c>
      <c r="GE47" s="79" t="s">
        <v>338</v>
      </c>
      <c r="GF47" s="79" t="s">
        <v>338</v>
      </c>
      <c r="GG47" s="79" t="s">
        <v>338</v>
      </c>
      <c r="GH47" s="79" t="s">
        <v>338</v>
      </c>
      <c r="GI47" s="79" t="s">
        <v>338</v>
      </c>
      <c r="GJ47" s="79" t="s">
        <v>338</v>
      </c>
      <c r="GK47" s="79" t="s">
        <v>338</v>
      </c>
      <c r="GL47" s="79" t="s">
        <v>338</v>
      </c>
    </row>
    <row r="48" spans="1:194" ht="14.25" customHeight="1" x14ac:dyDescent="0.35">
      <c r="A48" s="65"/>
      <c r="B48" s="75"/>
      <c r="C48" s="76" t="s">
        <v>387</v>
      </c>
      <c r="D48" s="77">
        <v>0</v>
      </c>
      <c r="E48" s="77">
        <v>0</v>
      </c>
      <c r="F48" s="77">
        <v>0</v>
      </c>
      <c r="G48" s="77">
        <v>0</v>
      </c>
      <c r="H48" s="77">
        <v>0</v>
      </c>
      <c r="I48" s="77">
        <v>0</v>
      </c>
      <c r="J48" s="77">
        <v>0</v>
      </c>
      <c r="K48" s="77">
        <v>0</v>
      </c>
      <c r="L48" s="77">
        <v>0</v>
      </c>
      <c r="M48" s="77">
        <v>0</v>
      </c>
      <c r="N48" s="77">
        <v>0</v>
      </c>
      <c r="O48" s="77">
        <v>0</v>
      </c>
      <c r="P48" s="66"/>
      <c r="Q48" s="66"/>
      <c r="R48" s="78" t="str">
        <f t="shared" si="1"/>
        <v>USD - Resto de Cartera de Renta Fija</v>
      </c>
      <c r="S48" s="79">
        <v>0</v>
      </c>
      <c r="T48" s="79">
        <v>0</v>
      </c>
      <c r="U48" s="79">
        <v>0</v>
      </c>
      <c r="V48" s="79">
        <v>0</v>
      </c>
      <c r="W48" s="79">
        <v>0</v>
      </c>
      <c r="X48" s="79">
        <v>0</v>
      </c>
      <c r="Y48" s="79">
        <v>0</v>
      </c>
      <c r="Z48" s="79">
        <v>0</v>
      </c>
      <c r="AA48" s="79">
        <v>0</v>
      </c>
      <c r="AB48" s="79">
        <v>0</v>
      </c>
      <c r="AC48" s="79">
        <v>0</v>
      </c>
      <c r="AD48" s="79">
        <v>0</v>
      </c>
      <c r="AE48" s="66"/>
      <c r="AF48" s="75"/>
      <c r="AG48" s="78" t="str">
        <f t="shared" si="2"/>
        <v>USD - Resto de Cartera de Renta Fija</v>
      </c>
      <c r="AH48" s="80">
        <v>0</v>
      </c>
      <c r="AI48" s="80">
        <v>0</v>
      </c>
      <c r="AJ48" s="80">
        <v>0</v>
      </c>
      <c r="AK48" s="80">
        <v>0</v>
      </c>
      <c r="AL48" s="80">
        <v>0</v>
      </c>
      <c r="AM48" s="80">
        <v>0</v>
      </c>
      <c r="AN48" s="80">
        <v>0</v>
      </c>
      <c r="AO48" s="80">
        <v>0</v>
      </c>
      <c r="AP48" s="80">
        <v>0</v>
      </c>
      <c r="AQ48" s="80">
        <v>0</v>
      </c>
      <c r="AR48" s="80">
        <v>0</v>
      </c>
      <c r="AS48" s="80">
        <v>0</v>
      </c>
      <c r="AT48" s="66"/>
      <c r="AU48" s="76"/>
      <c r="AV48" s="78" t="str">
        <f t="shared" si="3"/>
        <v>USD - Resto de Cartera de Renta Fija</v>
      </c>
      <c r="AW48" s="80">
        <v>0</v>
      </c>
      <c r="AX48" s="80">
        <v>0</v>
      </c>
      <c r="AY48" s="80">
        <v>0</v>
      </c>
      <c r="AZ48" s="80">
        <v>0</v>
      </c>
      <c r="BA48" s="80">
        <v>0</v>
      </c>
      <c r="BB48" s="80">
        <v>0</v>
      </c>
      <c r="BC48" s="80">
        <v>0</v>
      </c>
      <c r="BD48" s="80">
        <v>0</v>
      </c>
      <c r="BE48" s="80">
        <v>0</v>
      </c>
      <c r="BF48" s="80">
        <v>0</v>
      </c>
      <c r="BG48" s="80">
        <v>0</v>
      </c>
      <c r="BH48" s="80">
        <v>0</v>
      </c>
      <c r="BI48" s="66"/>
      <c r="BJ48" s="76"/>
      <c r="BK48" s="78" t="str">
        <f t="shared" si="4"/>
        <v>USD - Resto de Cartera de Renta Fija</v>
      </c>
      <c r="BL48" s="81" t="s">
        <v>338</v>
      </c>
      <c r="BM48" s="81" t="s">
        <v>338</v>
      </c>
      <c r="BN48" s="81" t="s">
        <v>338</v>
      </c>
      <c r="BO48" s="81" t="s">
        <v>338</v>
      </c>
      <c r="BP48" s="81" t="s">
        <v>338</v>
      </c>
      <c r="BQ48" s="81" t="s">
        <v>338</v>
      </c>
      <c r="BR48" s="81" t="s">
        <v>338</v>
      </c>
      <c r="BS48" s="81" t="s">
        <v>338</v>
      </c>
      <c r="BT48" s="81" t="s">
        <v>338</v>
      </c>
      <c r="BU48" s="81" t="s">
        <v>338</v>
      </c>
      <c r="BV48" s="81" t="s">
        <v>338</v>
      </c>
      <c r="BW48" s="81" t="s">
        <v>338</v>
      </c>
      <c r="BX48" s="66"/>
      <c r="BY48" s="76"/>
      <c r="BZ48" s="78" t="str">
        <f t="shared" si="5"/>
        <v>USD - Resto de Cartera de Renta Fija</v>
      </c>
      <c r="CA48" s="79">
        <v>1</v>
      </c>
      <c r="CB48" s="79">
        <v>1</v>
      </c>
      <c r="CC48" s="79">
        <v>1</v>
      </c>
      <c r="CD48" s="79">
        <v>1</v>
      </c>
      <c r="CE48" s="79">
        <v>1</v>
      </c>
      <c r="CF48" s="79">
        <v>1</v>
      </c>
      <c r="CG48" s="79">
        <v>1</v>
      </c>
      <c r="CH48" s="79">
        <v>1</v>
      </c>
      <c r="CI48" s="79">
        <v>1</v>
      </c>
      <c r="CJ48" s="79">
        <v>1</v>
      </c>
      <c r="CK48" s="79">
        <v>1</v>
      </c>
      <c r="CL48" s="79">
        <v>1</v>
      </c>
      <c r="CM48" s="66"/>
      <c r="CN48" s="76"/>
      <c r="CO48" s="78" t="str">
        <f t="shared" si="6"/>
        <v>USD - Resto de Cartera de Renta Fija</v>
      </c>
      <c r="CP48" s="79">
        <v>0</v>
      </c>
      <c r="CQ48" s="79">
        <v>0</v>
      </c>
      <c r="CR48" s="79">
        <v>0</v>
      </c>
      <c r="CS48" s="79">
        <v>0</v>
      </c>
      <c r="CT48" s="79">
        <v>0</v>
      </c>
      <c r="CU48" s="79">
        <v>0</v>
      </c>
      <c r="CV48" s="79">
        <v>0</v>
      </c>
      <c r="CW48" s="79">
        <v>0</v>
      </c>
      <c r="CX48" s="79">
        <v>0</v>
      </c>
      <c r="CY48" s="79">
        <v>0</v>
      </c>
      <c r="CZ48" s="79">
        <v>0</v>
      </c>
      <c r="DA48" s="79">
        <v>0</v>
      </c>
      <c r="DB48" s="66"/>
      <c r="DC48" s="66"/>
      <c r="DD48" s="78" t="str">
        <f t="shared" si="7"/>
        <v>USD - Resto de Cartera de Renta Fija</v>
      </c>
      <c r="DE48" s="79">
        <v>0</v>
      </c>
      <c r="DF48" s="79">
        <v>0</v>
      </c>
      <c r="DG48" s="79">
        <v>0</v>
      </c>
      <c r="DH48" s="79">
        <v>0</v>
      </c>
      <c r="DI48" s="79">
        <v>0</v>
      </c>
      <c r="DJ48" s="79">
        <v>0</v>
      </c>
      <c r="DK48" s="79">
        <v>0</v>
      </c>
      <c r="DL48" s="79">
        <v>0</v>
      </c>
      <c r="DM48" s="79">
        <v>0</v>
      </c>
      <c r="DN48" s="79">
        <v>0</v>
      </c>
      <c r="DO48" s="79">
        <v>0</v>
      </c>
      <c r="DP48" s="79">
        <v>0</v>
      </c>
      <c r="DQ48" s="66"/>
      <c r="DR48" s="76"/>
      <c r="DS48" s="78" t="str">
        <f t="shared" si="8"/>
        <v>USD - Resto de Cartera de Renta Fija</v>
      </c>
      <c r="DT48" s="79">
        <v>0</v>
      </c>
      <c r="DU48" s="79">
        <v>0</v>
      </c>
      <c r="DV48" s="79">
        <v>0</v>
      </c>
      <c r="DW48" s="79">
        <v>0</v>
      </c>
      <c r="DX48" s="79">
        <v>0</v>
      </c>
      <c r="DY48" s="79">
        <v>0</v>
      </c>
      <c r="DZ48" s="79">
        <v>0</v>
      </c>
      <c r="EA48" s="79">
        <v>0</v>
      </c>
      <c r="EB48" s="79">
        <v>0</v>
      </c>
      <c r="EC48" s="79">
        <v>0</v>
      </c>
      <c r="ED48" s="79">
        <v>0</v>
      </c>
      <c r="EE48" s="79">
        <v>0</v>
      </c>
      <c r="EF48" s="66"/>
      <c r="EG48" s="76"/>
      <c r="EH48" s="78" t="str">
        <f t="shared" si="9"/>
        <v>USD - Resto de Cartera de Renta Fija</v>
      </c>
      <c r="EI48" s="79">
        <v>0</v>
      </c>
      <c r="EJ48" s="79">
        <v>0</v>
      </c>
      <c r="EK48" s="79">
        <v>0</v>
      </c>
      <c r="EL48" s="79">
        <v>0</v>
      </c>
      <c r="EM48" s="79">
        <v>0</v>
      </c>
      <c r="EN48" s="79">
        <v>0</v>
      </c>
      <c r="EO48" s="79">
        <v>0</v>
      </c>
      <c r="EP48" s="79">
        <v>0</v>
      </c>
      <c r="EQ48" s="79">
        <v>0</v>
      </c>
      <c r="ER48" s="79">
        <v>0</v>
      </c>
      <c r="ES48" s="79">
        <v>0</v>
      </c>
      <c r="ET48" s="79">
        <v>0</v>
      </c>
      <c r="EU48" s="66"/>
      <c r="EV48" s="66"/>
      <c r="EW48" s="66"/>
      <c r="EX48" s="66"/>
      <c r="EY48" s="66"/>
      <c r="EZ48" s="66"/>
      <c r="FA48" s="66"/>
      <c r="FB48" s="66"/>
      <c r="FC48" s="66"/>
      <c r="FD48" s="66"/>
      <c r="FE48" s="66"/>
      <c r="FF48" s="66"/>
      <c r="FG48" s="66"/>
      <c r="FH48" s="66"/>
      <c r="FI48" s="66"/>
      <c r="FJ48" s="76"/>
      <c r="FK48" s="78" t="str">
        <f t="shared" si="10"/>
        <v>USD - Resto de Cartera de Renta Fija</v>
      </c>
      <c r="FL48" s="79">
        <v>0</v>
      </c>
      <c r="FM48" s="79">
        <v>0</v>
      </c>
      <c r="FN48" s="79">
        <v>0</v>
      </c>
      <c r="FO48" s="79">
        <v>0</v>
      </c>
      <c r="FP48" s="79">
        <v>0</v>
      </c>
      <c r="FQ48" s="79">
        <v>0</v>
      </c>
      <c r="FR48" s="79">
        <v>0</v>
      </c>
      <c r="FS48" s="79">
        <v>0</v>
      </c>
      <c r="FT48" s="79">
        <v>0</v>
      </c>
      <c r="FU48" s="79">
        <v>0</v>
      </c>
      <c r="FV48" s="79">
        <v>0</v>
      </c>
      <c r="FW48" s="79">
        <v>0</v>
      </c>
      <c r="FX48" s="68"/>
      <c r="FY48" s="76"/>
      <c r="FZ48" s="78" t="str">
        <f t="shared" si="11"/>
        <v>USD - Resto de Cartera de Renta Fija</v>
      </c>
      <c r="GA48" s="79" t="s">
        <v>338</v>
      </c>
      <c r="GB48" s="79" t="s">
        <v>338</v>
      </c>
      <c r="GC48" s="79" t="s">
        <v>338</v>
      </c>
      <c r="GD48" s="79" t="s">
        <v>338</v>
      </c>
      <c r="GE48" s="79" t="s">
        <v>338</v>
      </c>
      <c r="GF48" s="79" t="s">
        <v>338</v>
      </c>
      <c r="GG48" s="79" t="s">
        <v>338</v>
      </c>
      <c r="GH48" s="79" t="s">
        <v>338</v>
      </c>
      <c r="GI48" s="79" t="s">
        <v>338</v>
      </c>
      <c r="GJ48" s="79" t="s">
        <v>338</v>
      </c>
      <c r="GK48" s="79" t="s">
        <v>338</v>
      </c>
      <c r="GL48" s="79" t="s">
        <v>338</v>
      </c>
    </row>
    <row r="49" spans="1:194" ht="14.25" customHeight="1" x14ac:dyDescent="0.35">
      <c r="A49" s="65"/>
      <c r="B49" s="75"/>
      <c r="C49" s="76" t="s">
        <v>388</v>
      </c>
      <c r="D49" s="77">
        <v>0</v>
      </c>
      <c r="E49" s="77">
        <v>0</v>
      </c>
      <c r="F49" s="77">
        <v>0</v>
      </c>
      <c r="G49" s="77">
        <v>0</v>
      </c>
      <c r="H49" s="77">
        <v>0</v>
      </c>
      <c r="I49" s="77">
        <v>0</v>
      </c>
      <c r="J49" s="77">
        <v>0</v>
      </c>
      <c r="K49" s="77">
        <v>0</v>
      </c>
      <c r="L49" s="77">
        <v>0</v>
      </c>
      <c r="M49" s="77">
        <v>0</v>
      </c>
      <c r="N49" s="77">
        <v>0</v>
      </c>
      <c r="O49" s="77">
        <v>0</v>
      </c>
      <c r="P49" s="66"/>
      <c r="Q49" s="66"/>
      <c r="R49" s="78" t="str">
        <f t="shared" si="1"/>
        <v>USD - Garantias reales empresas</v>
      </c>
      <c r="S49" s="79">
        <v>0</v>
      </c>
      <c r="T49" s="79">
        <v>0</v>
      </c>
      <c r="U49" s="79">
        <v>0</v>
      </c>
      <c r="V49" s="79">
        <v>0</v>
      </c>
      <c r="W49" s="79">
        <v>0</v>
      </c>
      <c r="X49" s="79">
        <v>0</v>
      </c>
      <c r="Y49" s="79">
        <v>0</v>
      </c>
      <c r="Z49" s="79">
        <v>0</v>
      </c>
      <c r="AA49" s="79">
        <v>0</v>
      </c>
      <c r="AB49" s="79">
        <v>0</v>
      </c>
      <c r="AC49" s="79">
        <v>0</v>
      </c>
      <c r="AD49" s="79">
        <v>0</v>
      </c>
      <c r="AE49" s="66"/>
      <c r="AF49" s="75"/>
      <c r="AG49" s="78" t="str">
        <f t="shared" si="2"/>
        <v>USD - Garantias reales empresas</v>
      </c>
      <c r="AH49" s="80">
        <v>0</v>
      </c>
      <c r="AI49" s="80">
        <v>0</v>
      </c>
      <c r="AJ49" s="80">
        <v>0</v>
      </c>
      <c r="AK49" s="80">
        <v>0</v>
      </c>
      <c r="AL49" s="80">
        <v>0</v>
      </c>
      <c r="AM49" s="80">
        <v>0</v>
      </c>
      <c r="AN49" s="80">
        <v>0</v>
      </c>
      <c r="AO49" s="80">
        <v>0</v>
      </c>
      <c r="AP49" s="80">
        <v>0</v>
      </c>
      <c r="AQ49" s="80">
        <v>0</v>
      </c>
      <c r="AR49" s="80">
        <v>0</v>
      </c>
      <c r="AS49" s="80">
        <v>0</v>
      </c>
      <c r="AT49" s="66"/>
      <c r="AU49" s="76"/>
      <c r="AV49" s="78" t="str">
        <f t="shared" si="3"/>
        <v>USD - Garantias reales empresas</v>
      </c>
      <c r="AW49" s="80">
        <v>0</v>
      </c>
      <c r="AX49" s="80">
        <v>0</v>
      </c>
      <c r="AY49" s="80">
        <v>0</v>
      </c>
      <c r="AZ49" s="80">
        <v>0</v>
      </c>
      <c r="BA49" s="80">
        <v>0</v>
      </c>
      <c r="BB49" s="80">
        <v>0</v>
      </c>
      <c r="BC49" s="80">
        <v>0</v>
      </c>
      <c r="BD49" s="80">
        <v>0</v>
      </c>
      <c r="BE49" s="80">
        <v>0</v>
      </c>
      <c r="BF49" s="80">
        <v>0</v>
      </c>
      <c r="BG49" s="80">
        <v>0</v>
      </c>
      <c r="BH49" s="80">
        <v>0</v>
      </c>
      <c r="BI49" s="66"/>
      <c r="BJ49" s="76"/>
      <c r="BK49" s="78" t="str">
        <f t="shared" si="4"/>
        <v>USD - Garantias reales empresas</v>
      </c>
      <c r="BL49" s="81" t="s">
        <v>338</v>
      </c>
      <c r="BM49" s="81" t="s">
        <v>338</v>
      </c>
      <c r="BN49" s="81" t="s">
        <v>338</v>
      </c>
      <c r="BO49" s="81" t="s">
        <v>338</v>
      </c>
      <c r="BP49" s="81" t="s">
        <v>338</v>
      </c>
      <c r="BQ49" s="81" t="s">
        <v>338</v>
      </c>
      <c r="BR49" s="81" t="s">
        <v>338</v>
      </c>
      <c r="BS49" s="81" t="s">
        <v>338</v>
      </c>
      <c r="BT49" s="81" t="s">
        <v>338</v>
      </c>
      <c r="BU49" s="81" t="s">
        <v>338</v>
      </c>
      <c r="BV49" s="81" t="s">
        <v>338</v>
      </c>
      <c r="BW49" s="81" t="s">
        <v>338</v>
      </c>
      <c r="BX49" s="66"/>
      <c r="BY49" s="76"/>
      <c r="BZ49" s="78" t="str">
        <f t="shared" si="5"/>
        <v>USD - Garantias reales empresas</v>
      </c>
      <c r="CA49" s="79">
        <v>1</v>
      </c>
      <c r="CB49" s="79">
        <v>1</v>
      </c>
      <c r="CC49" s="79">
        <v>1</v>
      </c>
      <c r="CD49" s="79">
        <v>1</v>
      </c>
      <c r="CE49" s="79">
        <v>1</v>
      </c>
      <c r="CF49" s="79">
        <v>1</v>
      </c>
      <c r="CG49" s="79">
        <v>1</v>
      </c>
      <c r="CH49" s="79">
        <v>1</v>
      </c>
      <c r="CI49" s="79">
        <v>1</v>
      </c>
      <c r="CJ49" s="79">
        <v>1</v>
      </c>
      <c r="CK49" s="79">
        <v>1</v>
      </c>
      <c r="CL49" s="79">
        <v>1</v>
      </c>
      <c r="CM49" s="66"/>
      <c r="CN49" s="76"/>
      <c r="CO49" s="78" t="str">
        <f t="shared" si="6"/>
        <v>USD - Garantias reales empresas</v>
      </c>
      <c r="CP49" s="79">
        <v>0</v>
      </c>
      <c r="CQ49" s="79">
        <v>0</v>
      </c>
      <c r="CR49" s="79">
        <v>0</v>
      </c>
      <c r="CS49" s="79">
        <v>0</v>
      </c>
      <c r="CT49" s="79">
        <v>0</v>
      </c>
      <c r="CU49" s="79">
        <v>0</v>
      </c>
      <c r="CV49" s="79">
        <v>0</v>
      </c>
      <c r="CW49" s="79">
        <v>0</v>
      </c>
      <c r="CX49" s="79">
        <v>0</v>
      </c>
      <c r="CY49" s="79">
        <v>0</v>
      </c>
      <c r="CZ49" s="79">
        <v>0</v>
      </c>
      <c r="DA49" s="79">
        <v>0</v>
      </c>
      <c r="DB49" s="66"/>
      <c r="DC49" s="66"/>
      <c r="DD49" s="78" t="str">
        <f t="shared" si="7"/>
        <v>USD - Garantias reales empresas</v>
      </c>
      <c r="DE49" s="79">
        <v>0</v>
      </c>
      <c r="DF49" s="79">
        <v>0</v>
      </c>
      <c r="DG49" s="79">
        <v>0</v>
      </c>
      <c r="DH49" s="79">
        <v>0</v>
      </c>
      <c r="DI49" s="79">
        <v>0</v>
      </c>
      <c r="DJ49" s="79">
        <v>0</v>
      </c>
      <c r="DK49" s="79">
        <v>0</v>
      </c>
      <c r="DL49" s="79">
        <v>0</v>
      </c>
      <c r="DM49" s="79">
        <v>0</v>
      </c>
      <c r="DN49" s="79">
        <v>0</v>
      </c>
      <c r="DO49" s="79">
        <v>0</v>
      </c>
      <c r="DP49" s="79">
        <v>0</v>
      </c>
      <c r="DQ49" s="66"/>
      <c r="DR49" s="76"/>
      <c r="DS49" s="78" t="str">
        <f t="shared" si="8"/>
        <v>USD - Garantias reales empresas</v>
      </c>
      <c r="DT49" s="79">
        <v>0</v>
      </c>
      <c r="DU49" s="79">
        <v>0</v>
      </c>
      <c r="DV49" s="79">
        <v>0</v>
      </c>
      <c r="DW49" s="79">
        <v>0</v>
      </c>
      <c r="DX49" s="79">
        <v>0</v>
      </c>
      <c r="DY49" s="79">
        <v>0</v>
      </c>
      <c r="DZ49" s="79">
        <v>0</v>
      </c>
      <c r="EA49" s="79">
        <v>0</v>
      </c>
      <c r="EB49" s="79">
        <v>0</v>
      </c>
      <c r="EC49" s="79">
        <v>0</v>
      </c>
      <c r="ED49" s="79">
        <v>0</v>
      </c>
      <c r="EE49" s="79">
        <v>0</v>
      </c>
      <c r="EF49" s="66"/>
      <c r="EG49" s="76"/>
      <c r="EH49" s="78" t="str">
        <f t="shared" si="9"/>
        <v>USD - Garantias reales empresas</v>
      </c>
      <c r="EI49" s="79">
        <v>0</v>
      </c>
      <c r="EJ49" s="79">
        <v>0</v>
      </c>
      <c r="EK49" s="79">
        <v>0</v>
      </c>
      <c r="EL49" s="79">
        <v>0</v>
      </c>
      <c r="EM49" s="79">
        <v>0</v>
      </c>
      <c r="EN49" s="79">
        <v>0</v>
      </c>
      <c r="EO49" s="79">
        <v>0</v>
      </c>
      <c r="EP49" s="79">
        <v>0</v>
      </c>
      <c r="EQ49" s="79">
        <v>0</v>
      </c>
      <c r="ER49" s="79">
        <v>0</v>
      </c>
      <c r="ES49" s="79">
        <v>0</v>
      </c>
      <c r="ET49" s="79">
        <v>0</v>
      </c>
      <c r="EU49" s="66"/>
      <c r="EV49" s="66"/>
      <c r="EW49" s="66"/>
      <c r="EX49" s="66"/>
      <c r="EY49" s="66"/>
      <c r="EZ49" s="66"/>
      <c r="FA49" s="66"/>
      <c r="FB49" s="66"/>
      <c r="FC49" s="66"/>
      <c r="FD49" s="66"/>
      <c r="FE49" s="66"/>
      <c r="FF49" s="66"/>
      <c r="FG49" s="66"/>
      <c r="FH49" s="66"/>
      <c r="FI49" s="66"/>
      <c r="FJ49" s="76"/>
      <c r="FK49" s="78" t="str">
        <f t="shared" si="10"/>
        <v>USD - Garantias reales empresas</v>
      </c>
      <c r="FL49" s="79">
        <v>0</v>
      </c>
      <c r="FM49" s="79">
        <v>0</v>
      </c>
      <c r="FN49" s="79">
        <v>0</v>
      </c>
      <c r="FO49" s="79">
        <v>0</v>
      </c>
      <c r="FP49" s="79">
        <v>0</v>
      </c>
      <c r="FQ49" s="79">
        <v>0</v>
      </c>
      <c r="FR49" s="79">
        <v>0</v>
      </c>
      <c r="FS49" s="79">
        <v>0</v>
      </c>
      <c r="FT49" s="79">
        <v>0</v>
      </c>
      <c r="FU49" s="79">
        <v>0</v>
      </c>
      <c r="FV49" s="79">
        <v>0</v>
      </c>
      <c r="FW49" s="79">
        <v>0</v>
      </c>
      <c r="FX49" s="68"/>
      <c r="FY49" s="76"/>
      <c r="FZ49" s="78" t="str">
        <f t="shared" si="11"/>
        <v>USD - Garantias reales empresas</v>
      </c>
      <c r="GA49" s="79" t="s">
        <v>338</v>
      </c>
      <c r="GB49" s="79" t="s">
        <v>338</v>
      </c>
      <c r="GC49" s="79" t="s">
        <v>338</v>
      </c>
      <c r="GD49" s="79" t="s">
        <v>338</v>
      </c>
      <c r="GE49" s="79" t="s">
        <v>338</v>
      </c>
      <c r="GF49" s="79" t="s">
        <v>338</v>
      </c>
      <c r="GG49" s="79" t="s">
        <v>338</v>
      </c>
      <c r="GH49" s="79" t="s">
        <v>338</v>
      </c>
      <c r="GI49" s="79" t="s">
        <v>338</v>
      </c>
      <c r="GJ49" s="79" t="s">
        <v>338</v>
      </c>
      <c r="GK49" s="79" t="s">
        <v>338</v>
      </c>
      <c r="GL49" s="79" t="s">
        <v>338</v>
      </c>
    </row>
    <row r="50" spans="1:194" ht="14.25" customHeight="1" x14ac:dyDescent="0.35">
      <c r="A50" s="65"/>
      <c r="B50" s="75"/>
      <c r="C50" s="76" t="s">
        <v>389</v>
      </c>
      <c r="D50" s="77">
        <v>0</v>
      </c>
      <c r="E50" s="77">
        <v>0</v>
      </c>
      <c r="F50" s="77">
        <v>0</v>
      </c>
      <c r="G50" s="77">
        <v>0</v>
      </c>
      <c r="H50" s="77">
        <v>0</v>
      </c>
      <c r="I50" s="77">
        <v>0</v>
      </c>
      <c r="J50" s="77">
        <v>0</v>
      </c>
      <c r="K50" s="77">
        <v>0</v>
      </c>
      <c r="L50" s="77">
        <v>0</v>
      </c>
      <c r="M50" s="77">
        <v>0</v>
      </c>
      <c r="N50" s="77">
        <v>0</v>
      </c>
      <c r="O50" s="77">
        <v>0</v>
      </c>
      <c r="P50" s="66"/>
      <c r="Q50" s="66"/>
      <c r="R50" s="78" t="str">
        <f t="shared" si="1"/>
        <v>USD - Administraciones Publicas</v>
      </c>
      <c r="S50" s="79">
        <v>0</v>
      </c>
      <c r="T50" s="79">
        <v>0</v>
      </c>
      <c r="U50" s="79">
        <v>0</v>
      </c>
      <c r="V50" s="79">
        <v>0</v>
      </c>
      <c r="W50" s="79">
        <v>0</v>
      </c>
      <c r="X50" s="79">
        <v>0</v>
      </c>
      <c r="Y50" s="79">
        <v>0</v>
      </c>
      <c r="Z50" s="79">
        <v>0</v>
      </c>
      <c r="AA50" s="79">
        <v>0</v>
      </c>
      <c r="AB50" s="79">
        <v>0</v>
      </c>
      <c r="AC50" s="79">
        <v>0</v>
      </c>
      <c r="AD50" s="79">
        <v>0</v>
      </c>
      <c r="AE50" s="66"/>
      <c r="AF50" s="75"/>
      <c r="AG50" s="78" t="str">
        <f t="shared" si="2"/>
        <v>USD - Administraciones Publicas</v>
      </c>
      <c r="AH50" s="80">
        <v>0</v>
      </c>
      <c r="AI50" s="80">
        <v>0</v>
      </c>
      <c r="AJ50" s="80">
        <v>0</v>
      </c>
      <c r="AK50" s="80">
        <v>0</v>
      </c>
      <c r="AL50" s="80">
        <v>0</v>
      </c>
      <c r="AM50" s="80">
        <v>0</v>
      </c>
      <c r="AN50" s="80">
        <v>0</v>
      </c>
      <c r="AO50" s="80">
        <v>0</v>
      </c>
      <c r="AP50" s="80">
        <v>0</v>
      </c>
      <c r="AQ50" s="80">
        <v>0</v>
      </c>
      <c r="AR50" s="80">
        <v>0</v>
      </c>
      <c r="AS50" s="80">
        <v>0</v>
      </c>
      <c r="AT50" s="66"/>
      <c r="AU50" s="76"/>
      <c r="AV50" s="78" t="str">
        <f t="shared" si="3"/>
        <v>USD - Administraciones Publicas</v>
      </c>
      <c r="AW50" s="80">
        <v>0</v>
      </c>
      <c r="AX50" s="80">
        <v>0</v>
      </c>
      <c r="AY50" s="80">
        <v>0</v>
      </c>
      <c r="AZ50" s="80">
        <v>0</v>
      </c>
      <c r="BA50" s="80">
        <v>0</v>
      </c>
      <c r="BB50" s="80">
        <v>0</v>
      </c>
      <c r="BC50" s="80">
        <v>0</v>
      </c>
      <c r="BD50" s="80">
        <v>0</v>
      </c>
      <c r="BE50" s="80">
        <v>0</v>
      </c>
      <c r="BF50" s="80">
        <v>0</v>
      </c>
      <c r="BG50" s="80">
        <v>0</v>
      </c>
      <c r="BH50" s="80">
        <v>0</v>
      </c>
      <c r="BI50" s="66"/>
      <c r="BJ50" s="76"/>
      <c r="BK50" s="78" t="str">
        <f t="shared" si="4"/>
        <v>USD - Administraciones Publicas</v>
      </c>
      <c r="BL50" s="81" t="s">
        <v>338</v>
      </c>
      <c r="BM50" s="81" t="s">
        <v>338</v>
      </c>
      <c r="BN50" s="81" t="s">
        <v>338</v>
      </c>
      <c r="BO50" s="81" t="s">
        <v>338</v>
      </c>
      <c r="BP50" s="81" t="s">
        <v>338</v>
      </c>
      <c r="BQ50" s="81" t="s">
        <v>338</v>
      </c>
      <c r="BR50" s="81" t="s">
        <v>338</v>
      </c>
      <c r="BS50" s="81" t="s">
        <v>338</v>
      </c>
      <c r="BT50" s="81" t="s">
        <v>338</v>
      </c>
      <c r="BU50" s="81" t="s">
        <v>338</v>
      </c>
      <c r="BV50" s="81" t="s">
        <v>338</v>
      </c>
      <c r="BW50" s="81" t="s">
        <v>338</v>
      </c>
      <c r="BX50" s="66"/>
      <c r="BY50" s="76"/>
      <c r="BZ50" s="78" t="str">
        <f t="shared" si="5"/>
        <v>USD - Administraciones Publicas</v>
      </c>
      <c r="CA50" s="79">
        <v>1</v>
      </c>
      <c r="CB50" s="79">
        <v>1</v>
      </c>
      <c r="CC50" s="79">
        <v>1</v>
      </c>
      <c r="CD50" s="79">
        <v>1</v>
      </c>
      <c r="CE50" s="79">
        <v>1</v>
      </c>
      <c r="CF50" s="79">
        <v>1</v>
      </c>
      <c r="CG50" s="79">
        <v>1</v>
      </c>
      <c r="CH50" s="79">
        <v>1</v>
      </c>
      <c r="CI50" s="79">
        <v>1</v>
      </c>
      <c r="CJ50" s="79">
        <v>1</v>
      </c>
      <c r="CK50" s="79">
        <v>1</v>
      </c>
      <c r="CL50" s="79">
        <v>1</v>
      </c>
      <c r="CM50" s="66"/>
      <c r="CN50" s="76"/>
      <c r="CO50" s="78" t="str">
        <f t="shared" si="6"/>
        <v>USD - Administraciones Publicas</v>
      </c>
      <c r="CP50" s="79">
        <v>0</v>
      </c>
      <c r="CQ50" s="79">
        <v>0</v>
      </c>
      <c r="CR50" s="79">
        <v>0</v>
      </c>
      <c r="CS50" s="79">
        <v>0</v>
      </c>
      <c r="CT50" s="79">
        <v>0</v>
      </c>
      <c r="CU50" s="79">
        <v>0</v>
      </c>
      <c r="CV50" s="79">
        <v>0</v>
      </c>
      <c r="CW50" s="79">
        <v>0</v>
      </c>
      <c r="CX50" s="79">
        <v>0</v>
      </c>
      <c r="CY50" s="79">
        <v>0</v>
      </c>
      <c r="CZ50" s="79">
        <v>0</v>
      </c>
      <c r="DA50" s="79">
        <v>0</v>
      </c>
      <c r="DB50" s="66"/>
      <c r="DC50" s="66"/>
      <c r="DD50" s="78" t="str">
        <f t="shared" si="7"/>
        <v>USD - Administraciones Publicas</v>
      </c>
      <c r="DE50" s="79">
        <v>0</v>
      </c>
      <c r="DF50" s="79">
        <v>0</v>
      </c>
      <c r="DG50" s="79">
        <v>0</v>
      </c>
      <c r="DH50" s="79">
        <v>0</v>
      </c>
      <c r="DI50" s="79">
        <v>0</v>
      </c>
      <c r="DJ50" s="79">
        <v>0</v>
      </c>
      <c r="DK50" s="79">
        <v>0</v>
      </c>
      <c r="DL50" s="79">
        <v>0</v>
      </c>
      <c r="DM50" s="79">
        <v>0</v>
      </c>
      <c r="DN50" s="79">
        <v>0</v>
      </c>
      <c r="DO50" s="79">
        <v>0</v>
      </c>
      <c r="DP50" s="79">
        <v>0</v>
      </c>
      <c r="DQ50" s="66"/>
      <c r="DR50" s="76"/>
      <c r="DS50" s="78" t="str">
        <f t="shared" si="8"/>
        <v>USD - Administraciones Publicas</v>
      </c>
      <c r="DT50" s="79">
        <v>0</v>
      </c>
      <c r="DU50" s="79">
        <v>0</v>
      </c>
      <c r="DV50" s="79">
        <v>0</v>
      </c>
      <c r="DW50" s="79">
        <v>0</v>
      </c>
      <c r="DX50" s="79">
        <v>0</v>
      </c>
      <c r="DY50" s="79">
        <v>0</v>
      </c>
      <c r="DZ50" s="79">
        <v>0</v>
      </c>
      <c r="EA50" s="79">
        <v>0</v>
      </c>
      <c r="EB50" s="79">
        <v>0</v>
      </c>
      <c r="EC50" s="79">
        <v>0</v>
      </c>
      <c r="ED50" s="79">
        <v>0</v>
      </c>
      <c r="EE50" s="79">
        <v>0</v>
      </c>
      <c r="EF50" s="66"/>
      <c r="EG50" s="76"/>
      <c r="EH50" s="78" t="str">
        <f t="shared" si="9"/>
        <v>USD - Administraciones Publicas</v>
      </c>
      <c r="EI50" s="79">
        <v>0</v>
      </c>
      <c r="EJ50" s="79">
        <v>0</v>
      </c>
      <c r="EK50" s="79">
        <v>0</v>
      </c>
      <c r="EL50" s="79">
        <v>0</v>
      </c>
      <c r="EM50" s="79">
        <v>0</v>
      </c>
      <c r="EN50" s="79">
        <v>0</v>
      </c>
      <c r="EO50" s="79">
        <v>0</v>
      </c>
      <c r="EP50" s="79">
        <v>0</v>
      </c>
      <c r="EQ50" s="79">
        <v>0</v>
      </c>
      <c r="ER50" s="79">
        <v>0</v>
      </c>
      <c r="ES50" s="79">
        <v>0</v>
      </c>
      <c r="ET50" s="79">
        <v>0</v>
      </c>
      <c r="EU50" s="66"/>
      <c r="EV50" s="66"/>
      <c r="EW50" s="66"/>
      <c r="EX50" s="66"/>
      <c r="EY50" s="66"/>
      <c r="EZ50" s="66"/>
      <c r="FA50" s="66"/>
      <c r="FB50" s="66"/>
      <c r="FC50" s="66"/>
      <c r="FD50" s="66"/>
      <c r="FE50" s="66"/>
      <c r="FF50" s="66"/>
      <c r="FG50" s="66"/>
      <c r="FH50" s="66"/>
      <c r="FI50" s="66"/>
      <c r="FJ50" s="76"/>
      <c r="FK50" s="78" t="str">
        <f t="shared" si="10"/>
        <v>USD - Administraciones Publicas</v>
      </c>
      <c r="FL50" s="79">
        <v>0</v>
      </c>
      <c r="FM50" s="79">
        <v>0</v>
      </c>
      <c r="FN50" s="79">
        <v>0</v>
      </c>
      <c r="FO50" s="79">
        <v>0</v>
      </c>
      <c r="FP50" s="79">
        <v>0</v>
      </c>
      <c r="FQ50" s="79">
        <v>0</v>
      </c>
      <c r="FR50" s="79">
        <v>0</v>
      </c>
      <c r="FS50" s="79">
        <v>0</v>
      </c>
      <c r="FT50" s="79">
        <v>0</v>
      </c>
      <c r="FU50" s="79">
        <v>0</v>
      </c>
      <c r="FV50" s="79">
        <v>0</v>
      </c>
      <c r="FW50" s="79">
        <v>0</v>
      </c>
      <c r="FX50" s="68"/>
      <c r="FY50" s="76"/>
      <c r="FZ50" s="78" t="str">
        <f t="shared" si="11"/>
        <v>USD - Administraciones Publicas</v>
      </c>
      <c r="GA50" s="79" t="s">
        <v>338</v>
      </c>
      <c r="GB50" s="79" t="s">
        <v>338</v>
      </c>
      <c r="GC50" s="79" t="s">
        <v>338</v>
      </c>
      <c r="GD50" s="79" t="s">
        <v>338</v>
      </c>
      <c r="GE50" s="79" t="s">
        <v>338</v>
      </c>
      <c r="GF50" s="79" t="s">
        <v>338</v>
      </c>
      <c r="GG50" s="79" t="s">
        <v>338</v>
      </c>
      <c r="GH50" s="79" t="s">
        <v>338</v>
      </c>
      <c r="GI50" s="79" t="s">
        <v>338</v>
      </c>
      <c r="GJ50" s="79" t="s">
        <v>338</v>
      </c>
      <c r="GK50" s="79" t="s">
        <v>338</v>
      </c>
      <c r="GL50" s="79" t="s">
        <v>338</v>
      </c>
    </row>
    <row r="51" spans="1:194" ht="14.25" customHeight="1" x14ac:dyDescent="0.35">
      <c r="A51" s="65"/>
      <c r="B51" s="75"/>
      <c r="C51" s="76" t="s">
        <v>390</v>
      </c>
      <c r="D51" s="77">
        <v>0</v>
      </c>
      <c r="E51" s="77">
        <v>0</v>
      </c>
      <c r="F51" s="77">
        <v>0</v>
      </c>
      <c r="G51" s="77">
        <v>0</v>
      </c>
      <c r="H51" s="77">
        <v>0</v>
      </c>
      <c r="I51" s="77">
        <v>0</v>
      </c>
      <c r="J51" s="77">
        <v>0</v>
      </c>
      <c r="K51" s="77">
        <v>0</v>
      </c>
      <c r="L51" s="77">
        <v>0</v>
      </c>
      <c r="M51" s="77">
        <v>0</v>
      </c>
      <c r="N51" s="77">
        <v>0</v>
      </c>
      <c r="O51" s="77">
        <v>0</v>
      </c>
      <c r="P51" s="66"/>
      <c r="Q51" s="66"/>
      <c r="R51" s="78" t="str">
        <f t="shared" si="1"/>
        <v>USD - Prestamo al Consumo Fijo</v>
      </c>
      <c r="S51" s="79">
        <v>0</v>
      </c>
      <c r="T51" s="79">
        <v>0</v>
      </c>
      <c r="U51" s="79">
        <v>0</v>
      </c>
      <c r="V51" s="79">
        <v>0</v>
      </c>
      <c r="W51" s="79">
        <v>0</v>
      </c>
      <c r="X51" s="79">
        <v>0</v>
      </c>
      <c r="Y51" s="79">
        <v>0</v>
      </c>
      <c r="Z51" s="79">
        <v>0</v>
      </c>
      <c r="AA51" s="79">
        <v>0</v>
      </c>
      <c r="AB51" s="79">
        <v>0</v>
      </c>
      <c r="AC51" s="79">
        <v>0</v>
      </c>
      <c r="AD51" s="79">
        <v>0</v>
      </c>
      <c r="AE51" s="66"/>
      <c r="AF51" s="75"/>
      <c r="AG51" s="78" t="str">
        <f t="shared" si="2"/>
        <v>USD - Prestamo al Consumo Fijo</v>
      </c>
      <c r="AH51" s="80">
        <v>0</v>
      </c>
      <c r="AI51" s="80">
        <v>0</v>
      </c>
      <c r="AJ51" s="80">
        <v>0</v>
      </c>
      <c r="AK51" s="80">
        <v>0</v>
      </c>
      <c r="AL51" s="80">
        <v>0</v>
      </c>
      <c r="AM51" s="80">
        <v>0</v>
      </c>
      <c r="AN51" s="80">
        <v>0</v>
      </c>
      <c r="AO51" s="80">
        <v>0</v>
      </c>
      <c r="AP51" s="80">
        <v>0</v>
      </c>
      <c r="AQ51" s="80">
        <v>0</v>
      </c>
      <c r="AR51" s="80">
        <v>0</v>
      </c>
      <c r="AS51" s="80">
        <v>0</v>
      </c>
      <c r="AT51" s="66"/>
      <c r="AU51" s="76"/>
      <c r="AV51" s="78" t="str">
        <f t="shared" si="3"/>
        <v>USD - Prestamo al Consumo Fijo</v>
      </c>
      <c r="AW51" s="80">
        <v>0</v>
      </c>
      <c r="AX51" s="80">
        <v>0</v>
      </c>
      <c r="AY51" s="80">
        <v>0</v>
      </c>
      <c r="AZ51" s="80">
        <v>0</v>
      </c>
      <c r="BA51" s="80">
        <v>0</v>
      </c>
      <c r="BB51" s="80">
        <v>0</v>
      </c>
      <c r="BC51" s="80">
        <v>0</v>
      </c>
      <c r="BD51" s="80">
        <v>0</v>
      </c>
      <c r="BE51" s="80">
        <v>0</v>
      </c>
      <c r="BF51" s="80">
        <v>0</v>
      </c>
      <c r="BG51" s="80">
        <v>0</v>
      </c>
      <c r="BH51" s="80">
        <v>0</v>
      </c>
      <c r="BI51" s="66"/>
      <c r="BJ51" s="76"/>
      <c r="BK51" s="78" t="str">
        <f t="shared" si="4"/>
        <v>USD - Prestamo al Consumo Fijo</v>
      </c>
      <c r="BL51" s="81" t="s">
        <v>338</v>
      </c>
      <c r="BM51" s="81" t="s">
        <v>338</v>
      </c>
      <c r="BN51" s="81" t="s">
        <v>338</v>
      </c>
      <c r="BO51" s="81" t="s">
        <v>338</v>
      </c>
      <c r="BP51" s="81" t="s">
        <v>338</v>
      </c>
      <c r="BQ51" s="81" t="s">
        <v>338</v>
      </c>
      <c r="BR51" s="81" t="s">
        <v>338</v>
      </c>
      <c r="BS51" s="81" t="s">
        <v>338</v>
      </c>
      <c r="BT51" s="81" t="s">
        <v>338</v>
      </c>
      <c r="BU51" s="81" t="s">
        <v>338</v>
      </c>
      <c r="BV51" s="81" t="s">
        <v>338</v>
      </c>
      <c r="BW51" s="81" t="s">
        <v>338</v>
      </c>
      <c r="BX51" s="66"/>
      <c r="BY51" s="76"/>
      <c r="BZ51" s="78" t="str">
        <f t="shared" si="5"/>
        <v>USD - Prestamo al Consumo Fijo</v>
      </c>
      <c r="CA51" s="79">
        <v>1</v>
      </c>
      <c r="CB51" s="79">
        <v>1</v>
      </c>
      <c r="CC51" s="79">
        <v>1</v>
      </c>
      <c r="CD51" s="79">
        <v>1</v>
      </c>
      <c r="CE51" s="79">
        <v>1</v>
      </c>
      <c r="CF51" s="79">
        <v>1</v>
      </c>
      <c r="CG51" s="79">
        <v>1</v>
      </c>
      <c r="CH51" s="79">
        <v>1</v>
      </c>
      <c r="CI51" s="79">
        <v>1</v>
      </c>
      <c r="CJ51" s="79">
        <v>1</v>
      </c>
      <c r="CK51" s="79">
        <v>1</v>
      </c>
      <c r="CL51" s="79">
        <v>1</v>
      </c>
      <c r="CM51" s="66"/>
      <c r="CN51" s="76"/>
      <c r="CO51" s="78" t="str">
        <f t="shared" si="6"/>
        <v>USD - Prestamo al Consumo Fijo</v>
      </c>
      <c r="CP51" s="79">
        <v>0</v>
      </c>
      <c r="CQ51" s="79">
        <v>0</v>
      </c>
      <c r="CR51" s="79">
        <v>0</v>
      </c>
      <c r="CS51" s="79">
        <v>0</v>
      </c>
      <c r="CT51" s="79">
        <v>0</v>
      </c>
      <c r="CU51" s="79">
        <v>0</v>
      </c>
      <c r="CV51" s="79">
        <v>0</v>
      </c>
      <c r="CW51" s="79">
        <v>0</v>
      </c>
      <c r="CX51" s="79">
        <v>0</v>
      </c>
      <c r="CY51" s="79">
        <v>0</v>
      </c>
      <c r="CZ51" s="79">
        <v>0</v>
      </c>
      <c r="DA51" s="79">
        <v>0</v>
      </c>
      <c r="DB51" s="66"/>
      <c r="DC51" s="66"/>
      <c r="DD51" s="78" t="str">
        <f t="shared" si="7"/>
        <v>USD - Prestamo al Consumo Fijo</v>
      </c>
      <c r="DE51" s="79">
        <v>0</v>
      </c>
      <c r="DF51" s="79">
        <v>0</v>
      </c>
      <c r="DG51" s="79">
        <v>0</v>
      </c>
      <c r="DH51" s="79">
        <v>0</v>
      </c>
      <c r="DI51" s="79">
        <v>0</v>
      </c>
      <c r="DJ51" s="79">
        <v>0</v>
      </c>
      <c r="DK51" s="79">
        <v>0</v>
      </c>
      <c r="DL51" s="79">
        <v>0</v>
      </c>
      <c r="DM51" s="79">
        <v>0</v>
      </c>
      <c r="DN51" s="79">
        <v>0</v>
      </c>
      <c r="DO51" s="79">
        <v>0</v>
      </c>
      <c r="DP51" s="79">
        <v>0</v>
      </c>
      <c r="DQ51" s="66"/>
      <c r="DR51" s="76"/>
      <c r="DS51" s="78" t="str">
        <f t="shared" si="8"/>
        <v>USD - Prestamo al Consumo Fijo</v>
      </c>
      <c r="DT51" s="79">
        <v>0</v>
      </c>
      <c r="DU51" s="79">
        <v>0</v>
      </c>
      <c r="DV51" s="79">
        <v>0</v>
      </c>
      <c r="DW51" s="79">
        <v>0</v>
      </c>
      <c r="DX51" s="79">
        <v>0</v>
      </c>
      <c r="DY51" s="79">
        <v>0</v>
      </c>
      <c r="DZ51" s="79">
        <v>0</v>
      </c>
      <c r="EA51" s="79">
        <v>0</v>
      </c>
      <c r="EB51" s="79">
        <v>0</v>
      </c>
      <c r="EC51" s="79">
        <v>0</v>
      </c>
      <c r="ED51" s="79">
        <v>0</v>
      </c>
      <c r="EE51" s="79">
        <v>0</v>
      </c>
      <c r="EF51" s="66"/>
      <c r="EG51" s="76"/>
      <c r="EH51" s="78" t="str">
        <f t="shared" si="9"/>
        <v>USD - Prestamo al Consumo Fijo</v>
      </c>
      <c r="EI51" s="79">
        <v>0</v>
      </c>
      <c r="EJ51" s="79">
        <v>0</v>
      </c>
      <c r="EK51" s="79">
        <v>0</v>
      </c>
      <c r="EL51" s="79">
        <v>0</v>
      </c>
      <c r="EM51" s="79">
        <v>0</v>
      </c>
      <c r="EN51" s="79">
        <v>0</v>
      </c>
      <c r="EO51" s="79">
        <v>0</v>
      </c>
      <c r="EP51" s="79">
        <v>0</v>
      </c>
      <c r="EQ51" s="79">
        <v>0</v>
      </c>
      <c r="ER51" s="79">
        <v>0</v>
      </c>
      <c r="ES51" s="79">
        <v>0</v>
      </c>
      <c r="ET51" s="79">
        <v>0</v>
      </c>
      <c r="EU51" s="66"/>
      <c r="EV51" s="66"/>
      <c r="EW51" s="66"/>
      <c r="EX51" s="66"/>
      <c r="EY51" s="66"/>
      <c r="EZ51" s="66"/>
      <c r="FA51" s="66"/>
      <c r="FB51" s="66"/>
      <c r="FC51" s="66"/>
      <c r="FD51" s="66"/>
      <c r="FE51" s="66"/>
      <c r="FF51" s="66"/>
      <c r="FG51" s="66"/>
      <c r="FH51" s="66"/>
      <c r="FI51" s="66"/>
      <c r="FJ51" s="76"/>
      <c r="FK51" s="78" t="str">
        <f t="shared" si="10"/>
        <v>USD - Prestamo al Consumo Fijo</v>
      </c>
      <c r="FL51" s="79">
        <v>0</v>
      </c>
      <c r="FM51" s="79">
        <v>0</v>
      </c>
      <c r="FN51" s="79">
        <v>0</v>
      </c>
      <c r="FO51" s="79">
        <v>0</v>
      </c>
      <c r="FP51" s="79">
        <v>0</v>
      </c>
      <c r="FQ51" s="79">
        <v>0</v>
      </c>
      <c r="FR51" s="79">
        <v>0</v>
      </c>
      <c r="FS51" s="79">
        <v>0</v>
      </c>
      <c r="FT51" s="79">
        <v>0</v>
      </c>
      <c r="FU51" s="79">
        <v>0</v>
      </c>
      <c r="FV51" s="79">
        <v>0</v>
      </c>
      <c r="FW51" s="79">
        <v>0</v>
      </c>
      <c r="FX51" s="68"/>
      <c r="FY51" s="76"/>
      <c r="FZ51" s="78" t="str">
        <f t="shared" si="11"/>
        <v>USD - Prestamo al Consumo Fijo</v>
      </c>
      <c r="GA51" s="79" t="s">
        <v>338</v>
      </c>
      <c r="GB51" s="79" t="s">
        <v>338</v>
      </c>
      <c r="GC51" s="79" t="s">
        <v>338</v>
      </c>
      <c r="GD51" s="79" t="s">
        <v>338</v>
      </c>
      <c r="GE51" s="79" t="s">
        <v>338</v>
      </c>
      <c r="GF51" s="79" t="s">
        <v>338</v>
      </c>
      <c r="GG51" s="79" t="s">
        <v>338</v>
      </c>
      <c r="GH51" s="79" t="s">
        <v>338</v>
      </c>
      <c r="GI51" s="79" t="s">
        <v>338</v>
      </c>
      <c r="GJ51" s="79" t="s">
        <v>338</v>
      </c>
      <c r="GK51" s="79" t="s">
        <v>338</v>
      </c>
      <c r="GL51" s="79" t="s">
        <v>338</v>
      </c>
    </row>
    <row r="52" spans="1:194" ht="14.25" customHeight="1" x14ac:dyDescent="0.35">
      <c r="A52" s="65"/>
      <c r="B52" s="75"/>
      <c r="C52" s="76" t="s">
        <v>391</v>
      </c>
      <c r="D52" s="77">
        <v>0</v>
      </c>
      <c r="E52" s="77">
        <v>0</v>
      </c>
      <c r="F52" s="77">
        <v>0</v>
      </c>
      <c r="G52" s="77">
        <v>0</v>
      </c>
      <c r="H52" s="77">
        <v>0</v>
      </c>
      <c r="I52" s="77">
        <v>0</v>
      </c>
      <c r="J52" s="77">
        <v>0</v>
      </c>
      <c r="K52" s="77">
        <v>0</v>
      </c>
      <c r="L52" s="77">
        <v>0</v>
      </c>
      <c r="M52" s="77">
        <v>0</v>
      </c>
      <c r="N52" s="77">
        <v>0</v>
      </c>
      <c r="O52" s="77">
        <v>0</v>
      </c>
      <c r="P52" s="66"/>
      <c r="Q52" s="66"/>
      <c r="R52" s="78" t="str">
        <f t="shared" si="1"/>
        <v>USD - Prestamo al Consumo Variable</v>
      </c>
      <c r="S52" s="79">
        <v>0</v>
      </c>
      <c r="T52" s="79">
        <v>0</v>
      </c>
      <c r="U52" s="79">
        <v>0</v>
      </c>
      <c r="V52" s="79">
        <v>0</v>
      </c>
      <c r="W52" s="79">
        <v>0</v>
      </c>
      <c r="X52" s="79">
        <v>0</v>
      </c>
      <c r="Y52" s="79">
        <v>0</v>
      </c>
      <c r="Z52" s="79">
        <v>0</v>
      </c>
      <c r="AA52" s="79">
        <v>0</v>
      </c>
      <c r="AB52" s="79">
        <v>0</v>
      </c>
      <c r="AC52" s="79">
        <v>0</v>
      </c>
      <c r="AD52" s="79">
        <v>0</v>
      </c>
      <c r="AE52" s="66"/>
      <c r="AF52" s="75"/>
      <c r="AG52" s="78" t="str">
        <f t="shared" si="2"/>
        <v>USD - Prestamo al Consumo Variable</v>
      </c>
      <c r="AH52" s="80">
        <v>0</v>
      </c>
      <c r="AI52" s="80">
        <v>0</v>
      </c>
      <c r="AJ52" s="80">
        <v>0</v>
      </c>
      <c r="AK52" s="80">
        <v>0</v>
      </c>
      <c r="AL52" s="80">
        <v>0</v>
      </c>
      <c r="AM52" s="80">
        <v>0</v>
      </c>
      <c r="AN52" s="80">
        <v>0</v>
      </c>
      <c r="AO52" s="80">
        <v>0</v>
      </c>
      <c r="AP52" s="80">
        <v>0</v>
      </c>
      <c r="AQ52" s="80">
        <v>0</v>
      </c>
      <c r="AR52" s="80">
        <v>0</v>
      </c>
      <c r="AS52" s="80">
        <v>0</v>
      </c>
      <c r="AT52" s="66"/>
      <c r="AU52" s="76"/>
      <c r="AV52" s="78" t="str">
        <f t="shared" si="3"/>
        <v>USD - Prestamo al Consumo Variable</v>
      </c>
      <c r="AW52" s="80">
        <v>0</v>
      </c>
      <c r="AX52" s="80">
        <v>0</v>
      </c>
      <c r="AY52" s="80">
        <v>0</v>
      </c>
      <c r="AZ52" s="80">
        <v>0</v>
      </c>
      <c r="BA52" s="80">
        <v>0</v>
      </c>
      <c r="BB52" s="80">
        <v>0</v>
      </c>
      <c r="BC52" s="80">
        <v>0</v>
      </c>
      <c r="BD52" s="80">
        <v>0</v>
      </c>
      <c r="BE52" s="80">
        <v>0</v>
      </c>
      <c r="BF52" s="80">
        <v>0</v>
      </c>
      <c r="BG52" s="80">
        <v>0</v>
      </c>
      <c r="BH52" s="80">
        <v>0</v>
      </c>
      <c r="BI52" s="66"/>
      <c r="BJ52" s="76"/>
      <c r="BK52" s="78" t="str">
        <f t="shared" si="4"/>
        <v>USD - Prestamo al Consumo Variable</v>
      </c>
      <c r="BL52" s="81" t="s">
        <v>338</v>
      </c>
      <c r="BM52" s="81" t="s">
        <v>338</v>
      </c>
      <c r="BN52" s="81" t="s">
        <v>338</v>
      </c>
      <c r="BO52" s="81" t="s">
        <v>338</v>
      </c>
      <c r="BP52" s="81" t="s">
        <v>338</v>
      </c>
      <c r="BQ52" s="81" t="s">
        <v>338</v>
      </c>
      <c r="BR52" s="81" t="s">
        <v>338</v>
      </c>
      <c r="BS52" s="81" t="s">
        <v>338</v>
      </c>
      <c r="BT52" s="81" t="s">
        <v>338</v>
      </c>
      <c r="BU52" s="81" t="s">
        <v>338</v>
      </c>
      <c r="BV52" s="81" t="s">
        <v>338</v>
      </c>
      <c r="BW52" s="81" t="s">
        <v>338</v>
      </c>
      <c r="BX52" s="66"/>
      <c r="BY52" s="76"/>
      <c r="BZ52" s="78" t="str">
        <f t="shared" si="5"/>
        <v>USD - Prestamo al Consumo Variable</v>
      </c>
      <c r="CA52" s="79">
        <v>1</v>
      </c>
      <c r="CB52" s="79">
        <v>1</v>
      </c>
      <c r="CC52" s="79">
        <v>1</v>
      </c>
      <c r="CD52" s="79">
        <v>1</v>
      </c>
      <c r="CE52" s="79">
        <v>1</v>
      </c>
      <c r="CF52" s="79">
        <v>1</v>
      </c>
      <c r="CG52" s="79">
        <v>1</v>
      </c>
      <c r="CH52" s="79">
        <v>1</v>
      </c>
      <c r="CI52" s="79">
        <v>1</v>
      </c>
      <c r="CJ52" s="79">
        <v>1</v>
      </c>
      <c r="CK52" s="79">
        <v>1</v>
      </c>
      <c r="CL52" s="79">
        <v>1</v>
      </c>
      <c r="CM52" s="66"/>
      <c r="CN52" s="76"/>
      <c r="CO52" s="78" t="str">
        <f t="shared" si="6"/>
        <v>USD - Prestamo al Consumo Variable</v>
      </c>
      <c r="CP52" s="79">
        <v>0</v>
      </c>
      <c r="CQ52" s="79">
        <v>0</v>
      </c>
      <c r="CR52" s="79">
        <v>0</v>
      </c>
      <c r="CS52" s="79">
        <v>0</v>
      </c>
      <c r="CT52" s="79">
        <v>0</v>
      </c>
      <c r="CU52" s="79">
        <v>0</v>
      </c>
      <c r="CV52" s="79">
        <v>0</v>
      </c>
      <c r="CW52" s="79">
        <v>0</v>
      </c>
      <c r="CX52" s="79">
        <v>0</v>
      </c>
      <c r="CY52" s="79">
        <v>0</v>
      </c>
      <c r="CZ52" s="79">
        <v>0</v>
      </c>
      <c r="DA52" s="79">
        <v>0</v>
      </c>
      <c r="DB52" s="66"/>
      <c r="DC52" s="66"/>
      <c r="DD52" s="78" t="str">
        <f t="shared" si="7"/>
        <v>USD - Prestamo al Consumo Variable</v>
      </c>
      <c r="DE52" s="79">
        <v>0</v>
      </c>
      <c r="DF52" s="79">
        <v>0</v>
      </c>
      <c r="DG52" s="79">
        <v>0</v>
      </c>
      <c r="DH52" s="79">
        <v>0</v>
      </c>
      <c r="DI52" s="79">
        <v>0</v>
      </c>
      <c r="DJ52" s="79">
        <v>0</v>
      </c>
      <c r="DK52" s="79">
        <v>0</v>
      </c>
      <c r="DL52" s="79">
        <v>0</v>
      </c>
      <c r="DM52" s="79">
        <v>0</v>
      </c>
      <c r="DN52" s="79">
        <v>0</v>
      </c>
      <c r="DO52" s="79">
        <v>0</v>
      </c>
      <c r="DP52" s="79">
        <v>0</v>
      </c>
      <c r="DQ52" s="66"/>
      <c r="DR52" s="76"/>
      <c r="DS52" s="78" t="str">
        <f t="shared" si="8"/>
        <v>USD - Prestamo al Consumo Variable</v>
      </c>
      <c r="DT52" s="79">
        <v>0</v>
      </c>
      <c r="DU52" s="79">
        <v>0</v>
      </c>
      <c r="DV52" s="79">
        <v>0</v>
      </c>
      <c r="DW52" s="79">
        <v>0</v>
      </c>
      <c r="DX52" s="79">
        <v>0</v>
      </c>
      <c r="DY52" s="79">
        <v>0</v>
      </c>
      <c r="DZ52" s="79">
        <v>0</v>
      </c>
      <c r="EA52" s="79">
        <v>0</v>
      </c>
      <c r="EB52" s="79">
        <v>0</v>
      </c>
      <c r="EC52" s="79">
        <v>0</v>
      </c>
      <c r="ED52" s="79">
        <v>0</v>
      </c>
      <c r="EE52" s="79">
        <v>0</v>
      </c>
      <c r="EF52" s="66"/>
      <c r="EG52" s="76"/>
      <c r="EH52" s="78" t="str">
        <f t="shared" si="9"/>
        <v>USD - Prestamo al Consumo Variable</v>
      </c>
      <c r="EI52" s="79">
        <v>0</v>
      </c>
      <c r="EJ52" s="79">
        <v>0</v>
      </c>
      <c r="EK52" s="79">
        <v>0</v>
      </c>
      <c r="EL52" s="79">
        <v>0</v>
      </c>
      <c r="EM52" s="79">
        <v>0</v>
      </c>
      <c r="EN52" s="79">
        <v>0</v>
      </c>
      <c r="EO52" s="79">
        <v>0</v>
      </c>
      <c r="EP52" s="79">
        <v>0</v>
      </c>
      <c r="EQ52" s="79">
        <v>0</v>
      </c>
      <c r="ER52" s="79">
        <v>0</v>
      </c>
      <c r="ES52" s="79">
        <v>0</v>
      </c>
      <c r="ET52" s="79">
        <v>0</v>
      </c>
      <c r="EU52" s="66"/>
      <c r="EV52" s="66"/>
      <c r="EW52" s="66"/>
      <c r="EX52" s="66"/>
      <c r="EY52" s="66"/>
      <c r="EZ52" s="66"/>
      <c r="FA52" s="66"/>
      <c r="FB52" s="66"/>
      <c r="FC52" s="66"/>
      <c r="FD52" s="66"/>
      <c r="FE52" s="66"/>
      <c r="FF52" s="66"/>
      <c r="FG52" s="66"/>
      <c r="FH52" s="66"/>
      <c r="FI52" s="66"/>
      <c r="FJ52" s="76"/>
      <c r="FK52" s="78" t="str">
        <f t="shared" si="10"/>
        <v>USD - Prestamo al Consumo Variable</v>
      </c>
      <c r="FL52" s="79">
        <v>0</v>
      </c>
      <c r="FM52" s="79">
        <v>0</v>
      </c>
      <c r="FN52" s="79">
        <v>0</v>
      </c>
      <c r="FO52" s="79">
        <v>0</v>
      </c>
      <c r="FP52" s="79">
        <v>0</v>
      </c>
      <c r="FQ52" s="79">
        <v>0</v>
      </c>
      <c r="FR52" s="79">
        <v>0</v>
      </c>
      <c r="FS52" s="79">
        <v>0</v>
      </c>
      <c r="FT52" s="79">
        <v>0</v>
      </c>
      <c r="FU52" s="79">
        <v>0</v>
      </c>
      <c r="FV52" s="79">
        <v>0</v>
      </c>
      <c r="FW52" s="79">
        <v>0</v>
      </c>
      <c r="FX52" s="68"/>
      <c r="FY52" s="76"/>
      <c r="FZ52" s="78" t="str">
        <f t="shared" si="11"/>
        <v>USD - Prestamo al Consumo Variable</v>
      </c>
      <c r="GA52" s="79" t="s">
        <v>338</v>
      </c>
      <c r="GB52" s="79" t="s">
        <v>338</v>
      </c>
      <c r="GC52" s="79" t="s">
        <v>338</v>
      </c>
      <c r="GD52" s="79" t="s">
        <v>338</v>
      </c>
      <c r="GE52" s="79" t="s">
        <v>338</v>
      </c>
      <c r="GF52" s="79" t="s">
        <v>338</v>
      </c>
      <c r="GG52" s="79" t="s">
        <v>338</v>
      </c>
      <c r="GH52" s="79" t="s">
        <v>338</v>
      </c>
      <c r="GI52" s="79" t="s">
        <v>338</v>
      </c>
      <c r="GJ52" s="79" t="s">
        <v>338</v>
      </c>
      <c r="GK52" s="79" t="s">
        <v>338</v>
      </c>
      <c r="GL52" s="79" t="s">
        <v>338</v>
      </c>
    </row>
    <row r="53" spans="1:194" ht="14.25" customHeight="1" x14ac:dyDescent="0.35">
      <c r="A53" s="65"/>
      <c r="B53" s="75"/>
      <c r="C53" s="76" t="s">
        <v>392</v>
      </c>
      <c r="D53" s="77">
        <v>-20054.730150718187</v>
      </c>
      <c r="E53" s="77">
        <v>-20054.730150718187</v>
      </c>
      <c r="F53" s="77">
        <v>-20054.730150718187</v>
      </c>
      <c r="G53" s="77">
        <v>-20054.730150718187</v>
      </c>
      <c r="H53" s="77">
        <v>-20054.730150718187</v>
      </c>
      <c r="I53" s="77">
        <v>-20054.730150718187</v>
      </c>
      <c r="J53" s="77">
        <v>-20054.730150718187</v>
      </c>
      <c r="K53" s="77">
        <v>-20054.730150718187</v>
      </c>
      <c r="L53" s="77">
        <v>-20054.730150718187</v>
      </c>
      <c r="M53" s="77">
        <v>-20054.730150718187</v>
      </c>
      <c r="N53" s="77">
        <v>-20054.730150718187</v>
      </c>
      <c r="O53" s="77">
        <v>-20054.730150718187</v>
      </c>
      <c r="P53" s="66"/>
      <c r="Q53" s="66"/>
      <c r="R53" s="78" t="str">
        <f t="shared" si="1"/>
        <v>USD - Tarjetas de Credito a credito</v>
      </c>
      <c r="S53" s="79">
        <v>0</v>
      </c>
      <c r="T53" s="79">
        <v>0</v>
      </c>
      <c r="U53" s="79">
        <v>0</v>
      </c>
      <c r="V53" s="79">
        <v>0</v>
      </c>
      <c r="W53" s="79">
        <v>0</v>
      </c>
      <c r="X53" s="79">
        <v>0</v>
      </c>
      <c r="Y53" s="79">
        <v>0</v>
      </c>
      <c r="Z53" s="79">
        <v>0</v>
      </c>
      <c r="AA53" s="79">
        <v>0</v>
      </c>
      <c r="AB53" s="79">
        <v>0</v>
      </c>
      <c r="AC53" s="79">
        <v>0</v>
      </c>
      <c r="AD53" s="79">
        <v>0</v>
      </c>
      <c r="AE53" s="66"/>
      <c r="AF53" s="75"/>
      <c r="AG53" s="78" t="str">
        <f t="shared" si="2"/>
        <v>USD - Tarjetas de Credito a credito</v>
      </c>
      <c r="AH53" s="80">
        <v>0</v>
      </c>
      <c r="AI53" s="80">
        <v>0</v>
      </c>
      <c r="AJ53" s="80">
        <v>0</v>
      </c>
      <c r="AK53" s="80">
        <v>0</v>
      </c>
      <c r="AL53" s="80">
        <v>0</v>
      </c>
      <c r="AM53" s="80">
        <v>0</v>
      </c>
      <c r="AN53" s="80">
        <v>0</v>
      </c>
      <c r="AO53" s="80">
        <v>0</v>
      </c>
      <c r="AP53" s="80">
        <v>0</v>
      </c>
      <c r="AQ53" s="80">
        <v>0</v>
      </c>
      <c r="AR53" s="80">
        <v>0</v>
      </c>
      <c r="AS53" s="80">
        <v>0</v>
      </c>
      <c r="AT53" s="66"/>
      <c r="AU53" s="76"/>
      <c r="AV53" s="78" t="str">
        <f t="shared" si="3"/>
        <v>USD - Tarjetas de Credito a credito</v>
      </c>
      <c r="AW53" s="80">
        <v>0</v>
      </c>
      <c r="AX53" s="80">
        <v>0</v>
      </c>
      <c r="AY53" s="80">
        <v>0</v>
      </c>
      <c r="AZ53" s="80">
        <v>0</v>
      </c>
      <c r="BA53" s="80">
        <v>0</v>
      </c>
      <c r="BB53" s="80">
        <v>0</v>
      </c>
      <c r="BC53" s="80">
        <v>0</v>
      </c>
      <c r="BD53" s="80">
        <v>0</v>
      </c>
      <c r="BE53" s="80">
        <v>0</v>
      </c>
      <c r="BF53" s="80">
        <v>0</v>
      </c>
      <c r="BG53" s="80">
        <v>0</v>
      </c>
      <c r="BH53" s="80">
        <v>0</v>
      </c>
      <c r="BI53" s="66"/>
      <c r="BJ53" s="76"/>
      <c r="BK53" s="78" t="str">
        <f t="shared" si="4"/>
        <v>USD - Tarjetas de Credito a credito</v>
      </c>
      <c r="BL53" s="81" t="s">
        <v>338</v>
      </c>
      <c r="BM53" s="81" t="s">
        <v>338</v>
      </c>
      <c r="BN53" s="81" t="s">
        <v>338</v>
      </c>
      <c r="BO53" s="81" t="s">
        <v>338</v>
      </c>
      <c r="BP53" s="81" t="s">
        <v>338</v>
      </c>
      <c r="BQ53" s="81" t="s">
        <v>338</v>
      </c>
      <c r="BR53" s="81" t="s">
        <v>338</v>
      </c>
      <c r="BS53" s="81" t="s">
        <v>338</v>
      </c>
      <c r="BT53" s="81" t="s">
        <v>338</v>
      </c>
      <c r="BU53" s="81" t="s">
        <v>338</v>
      </c>
      <c r="BV53" s="81" t="s">
        <v>338</v>
      </c>
      <c r="BW53" s="81" t="s">
        <v>338</v>
      </c>
      <c r="BX53" s="66"/>
      <c r="BY53" s="76"/>
      <c r="BZ53" s="78" t="str">
        <f t="shared" si="5"/>
        <v>USD - Tarjetas de Credito a credito</v>
      </c>
      <c r="CA53" s="79">
        <v>1</v>
      </c>
      <c r="CB53" s="79">
        <v>1</v>
      </c>
      <c r="CC53" s="79">
        <v>1</v>
      </c>
      <c r="CD53" s="79">
        <v>1</v>
      </c>
      <c r="CE53" s="79">
        <v>1</v>
      </c>
      <c r="CF53" s="79">
        <v>1</v>
      </c>
      <c r="CG53" s="79">
        <v>1</v>
      </c>
      <c r="CH53" s="79">
        <v>1</v>
      </c>
      <c r="CI53" s="79">
        <v>1</v>
      </c>
      <c r="CJ53" s="79">
        <v>1</v>
      </c>
      <c r="CK53" s="79">
        <v>1</v>
      </c>
      <c r="CL53" s="79">
        <v>1</v>
      </c>
      <c r="CM53" s="66"/>
      <c r="CN53" s="76"/>
      <c r="CO53" s="78" t="str">
        <f t="shared" si="6"/>
        <v>USD - Tarjetas de Credito a credito</v>
      </c>
      <c r="CP53" s="79">
        <v>0</v>
      </c>
      <c r="CQ53" s="79">
        <v>0</v>
      </c>
      <c r="CR53" s="79">
        <v>0</v>
      </c>
      <c r="CS53" s="79">
        <v>0</v>
      </c>
      <c r="CT53" s="79">
        <v>0</v>
      </c>
      <c r="CU53" s="79">
        <v>0</v>
      </c>
      <c r="CV53" s="79">
        <v>0</v>
      </c>
      <c r="CW53" s="79">
        <v>0</v>
      </c>
      <c r="CX53" s="79">
        <v>0</v>
      </c>
      <c r="CY53" s="79">
        <v>0</v>
      </c>
      <c r="CZ53" s="79">
        <v>0</v>
      </c>
      <c r="DA53" s="79">
        <v>0</v>
      </c>
      <c r="DB53" s="66"/>
      <c r="DC53" s="66"/>
      <c r="DD53" s="78" t="str">
        <f t="shared" si="7"/>
        <v>USD - Tarjetas de Credito a credito</v>
      </c>
      <c r="DE53" s="79">
        <v>0</v>
      </c>
      <c r="DF53" s="79">
        <v>0</v>
      </c>
      <c r="DG53" s="79">
        <v>0</v>
      </c>
      <c r="DH53" s="79">
        <v>0</v>
      </c>
      <c r="DI53" s="79">
        <v>0</v>
      </c>
      <c r="DJ53" s="79">
        <v>0</v>
      </c>
      <c r="DK53" s="79">
        <v>0</v>
      </c>
      <c r="DL53" s="79">
        <v>0</v>
      </c>
      <c r="DM53" s="79">
        <v>0</v>
      </c>
      <c r="DN53" s="79">
        <v>0</v>
      </c>
      <c r="DO53" s="79">
        <v>0</v>
      </c>
      <c r="DP53" s="79">
        <v>0</v>
      </c>
      <c r="DQ53" s="66"/>
      <c r="DR53" s="76"/>
      <c r="DS53" s="78" t="str">
        <f t="shared" si="8"/>
        <v>USD - Tarjetas de Credito a credito</v>
      </c>
      <c r="DT53" s="79">
        <v>0</v>
      </c>
      <c r="DU53" s="79">
        <v>0</v>
      </c>
      <c r="DV53" s="79">
        <v>0</v>
      </c>
      <c r="DW53" s="79">
        <v>0</v>
      </c>
      <c r="DX53" s="79">
        <v>0</v>
      </c>
      <c r="DY53" s="79">
        <v>0</v>
      </c>
      <c r="DZ53" s="79">
        <v>0</v>
      </c>
      <c r="EA53" s="79">
        <v>0</v>
      </c>
      <c r="EB53" s="79">
        <v>0</v>
      </c>
      <c r="EC53" s="79">
        <v>0</v>
      </c>
      <c r="ED53" s="79">
        <v>0</v>
      </c>
      <c r="EE53" s="79">
        <v>0</v>
      </c>
      <c r="EF53" s="66"/>
      <c r="EG53" s="76"/>
      <c r="EH53" s="78" t="str">
        <f t="shared" si="9"/>
        <v>USD - Tarjetas de Credito a credito</v>
      </c>
      <c r="EI53" s="79">
        <v>0</v>
      </c>
      <c r="EJ53" s="79">
        <v>0</v>
      </c>
      <c r="EK53" s="79">
        <v>0</v>
      </c>
      <c r="EL53" s="79">
        <v>0</v>
      </c>
      <c r="EM53" s="79">
        <v>0</v>
      </c>
      <c r="EN53" s="79">
        <v>0</v>
      </c>
      <c r="EO53" s="79">
        <v>0</v>
      </c>
      <c r="EP53" s="79">
        <v>0</v>
      </c>
      <c r="EQ53" s="79">
        <v>0</v>
      </c>
      <c r="ER53" s="79">
        <v>0</v>
      </c>
      <c r="ES53" s="79">
        <v>0</v>
      </c>
      <c r="ET53" s="79">
        <v>0</v>
      </c>
      <c r="EU53" s="66"/>
      <c r="EV53" s="66"/>
      <c r="EW53" s="66"/>
      <c r="EX53" s="66"/>
      <c r="EY53" s="66"/>
      <c r="EZ53" s="66"/>
      <c r="FA53" s="66"/>
      <c r="FB53" s="66"/>
      <c r="FC53" s="66"/>
      <c r="FD53" s="66"/>
      <c r="FE53" s="66"/>
      <c r="FF53" s="66"/>
      <c r="FG53" s="66"/>
      <c r="FH53" s="66"/>
      <c r="FI53" s="66"/>
      <c r="FJ53" s="76"/>
      <c r="FK53" s="78" t="str">
        <f t="shared" si="10"/>
        <v>USD - Tarjetas de Credito a credito</v>
      </c>
      <c r="FL53" s="79">
        <v>0</v>
      </c>
      <c r="FM53" s="79">
        <v>0</v>
      </c>
      <c r="FN53" s="79">
        <v>0</v>
      </c>
      <c r="FO53" s="79">
        <v>0</v>
      </c>
      <c r="FP53" s="79">
        <v>0</v>
      </c>
      <c r="FQ53" s="79">
        <v>0</v>
      </c>
      <c r="FR53" s="79">
        <v>0</v>
      </c>
      <c r="FS53" s="79">
        <v>0</v>
      </c>
      <c r="FT53" s="79">
        <v>0</v>
      </c>
      <c r="FU53" s="79">
        <v>0</v>
      </c>
      <c r="FV53" s="79">
        <v>0</v>
      </c>
      <c r="FW53" s="79">
        <v>0</v>
      </c>
      <c r="FX53" s="68"/>
      <c r="FY53" s="76"/>
      <c r="FZ53" s="78" t="str">
        <f t="shared" si="11"/>
        <v>USD - Tarjetas de Credito a credito</v>
      </c>
      <c r="GA53" s="79" t="s">
        <v>338</v>
      </c>
      <c r="GB53" s="79" t="s">
        <v>338</v>
      </c>
      <c r="GC53" s="79" t="s">
        <v>338</v>
      </c>
      <c r="GD53" s="79" t="s">
        <v>338</v>
      </c>
      <c r="GE53" s="79" t="s">
        <v>338</v>
      </c>
      <c r="GF53" s="79" t="s">
        <v>338</v>
      </c>
      <c r="GG53" s="79" t="s">
        <v>338</v>
      </c>
      <c r="GH53" s="79" t="s">
        <v>338</v>
      </c>
      <c r="GI53" s="79" t="s">
        <v>338</v>
      </c>
      <c r="GJ53" s="79" t="s">
        <v>338</v>
      </c>
      <c r="GK53" s="79" t="s">
        <v>338</v>
      </c>
      <c r="GL53" s="79" t="s">
        <v>338</v>
      </c>
    </row>
    <row r="54" spans="1:194" ht="14.25" customHeight="1" x14ac:dyDescent="0.35">
      <c r="A54" s="65"/>
      <c r="B54" s="75"/>
      <c r="C54" s="76" t="s">
        <v>393</v>
      </c>
      <c r="D54" s="77">
        <v>0</v>
      </c>
      <c r="E54" s="77">
        <v>0</v>
      </c>
      <c r="F54" s="77">
        <v>0</v>
      </c>
      <c r="G54" s="77">
        <v>0</v>
      </c>
      <c r="H54" s="77">
        <v>0</v>
      </c>
      <c r="I54" s="77">
        <v>0</v>
      </c>
      <c r="J54" s="77">
        <v>0</v>
      </c>
      <c r="K54" s="77">
        <v>0</v>
      </c>
      <c r="L54" s="77">
        <v>0</v>
      </c>
      <c r="M54" s="77">
        <v>0</v>
      </c>
      <c r="N54" s="77">
        <v>0</v>
      </c>
      <c r="O54" s="77">
        <v>0</v>
      </c>
      <c r="P54" s="66"/>
      <c r="Q54" s="66"/>
      <c r="R54" s="78" t="str">
        <f t="shared" si="1"/>
        <v>USD - Hipotecarios Fijo</v>
      </c>
      <c r="S54" s="79">
        <v>0</v>
      </c>
      <c r="T54" s="79">
        <v>0</v>
      </c>
      <c r="U54" s="79">
        <v>0</v>
      </c>
      <c r="V54" s="79">
        <v>0</v>
      </c>
      <c r="W54" s="79">
        <v>0</v>
      </c>
      <c r="X54" s="79">
        <v>0</v>
      </c>
      <c r="Y54" s="79">
        <v>0</v>
      </c>
      <c r="Z54" s="79">
        <v>0</v>
      </c>
      <c r="AA54" s="79">
        <v>0</v>
      </c>
      <c r="AB54" s="79">
        <v>0</v>
      </c>
      <c r="AC54" s="79">
        <v>0</v>
      </c>
      <c r="AD54" s="79">
        <v>0</v>
      </c>
      <c r="AE54" s="66"/>
      <c r="AF54" s="75"/>
      <c r="AG54" s="78" t="str">
        <f t="shared" si="2"/>
        <v>USD - Hipotecarios Fijo</v>
      </c>
      <c r="AH54" s="80">
        <v>0</v>
      </c>
      <c r="AI54" s="80">
        <v>0</v>
      </c>
      <c r="AJ54" s="80">
        <v>0</v>
      </c>
      <c r="AK54" s="80">
        <v>0</v>
      </c>
      <c r="AL54" s="80">
        <v>0</v>
      </c>
      <c r="AM54" s="80">
        <v>0</v>
      </c>
      <c r="AN54" s="80">
        <v>0</v>
      </c>
      <c r="AO54" s="80">
        <v>0</v>
      </c>
      <c r="AP54" s="80">
        <v>0</v>
      </c>
      <c r="AQ54" s="80">
        <v>0</v>
      </c>
      <c r="AR54" s="80">
        <v>0</v>
      </c>
      <c r="AS54" s="80">
        <v>0</v>
      </c>
      <c r="AT54" s="66"/>
      <c r="AU54" s="76"/>
      <c r="AV54" s="78" t="str">
        <f t="shared" si="3"/>
        <v>USD - Hipotecarios Fijo</v>
      </c>
      <c r="AW54" s="80">
        <v>0</v>
      </c>
      <c r="AX54" s="80">
        <v>0</v>
      </c>
      <c r="AY54" s="80">
        <v>0</v>
      </c>
      <c r="AZ54" s="80">
        <v>0</v>
      </c>
      <c r="BA54" s="80">
        <v>0</v>
      </c>
      <c r="BB54" s="80">
        <v>0</v>
      </c>
      <c r="BC54" s="80">
        <v>0</v>
      </c>
      <c r="BD54" s="80">
        <v>0</v>
      </c>
      <c r="BE54" s="80">
        <v>0</v>
      </c>
      <c r="BF54" s="80">
        <v>0</v>
      </c>
      <c r="BG54" s="80">
        <v>0</v>
      </c>
      <c r="BH54" s="80">
        <v>0</v>
      </c>
      <c r="BI54" s="66"/>
      <c r="BJ54" s="76"/>
      <c r="BK54" s="78" t="str">
        <f t="shared" si="4"/>
        <v>USD - Hipotecarios Fijo</v>
      </c>
      <c r="BL54" s="81" t="s">
        <v>338</v>
      </c>
      <c r="BM54" s="81" t="s">
        <v>338</v>
      </c>
      <c r="BN54" s="81" t="s">
        <v>338</v>
      </c>
      <c r="BO54" s="81" t="s">
        <v>338</v>
      </c>
      <c r="BP54" s="81" t="s">
        <v>338</v>
      </c>
      <c r="BQ54" s="81" t="s">
        <v>338</v>
      </c>
      <c r="BR54" s="81" t="s">
        <v>338</v>
      </c>
      <c r="BS54" s="81" t="s">
        <v>338</v>
      </c>
      <c r="BT54" s="81" t="s">
        <v>338</v>
      </c>
      <c r="BU54" s="81" t="s">
        <v>338</v>
      </c>
      <c r="BV54" s="81" t="s">
        <v>338</v>
      </c>
      <c r="BW54" s="81" t="s">
        <v>338</v>
      </c>
      <c r="BX54" s="66"/>
      <c r="BY54" s="76"/>
      <c r="BZ54" s="78" t="str">
        <f t="shared" si="5"/>
        <v>USD - Hipotecarios Fijo</v>
      </c>
      <c r="CA54" s="79">
        <v>1</v>
      </c>
      <c r="CB54" s="79">
        <v>1</v>
      </c>
      <c r="CC54" s="79">
        <v>1</v>
      </c>
      <c r="CD54" s="79">
        <v>1</v>
      </c>
      <c r="CE54" s="79">
        <v>1</v>
      </c>
      <c r="CF54" s="79">
        <v>1</v>
      </c>
      <c r="CG54" s="79">
        <v>1</v>
      </c>
      <c r="CH54" s="79">
        <v>1</v>
      </c>
      <c r="CI54" s="79">
        <v>1</v>
      </c>
      <c r="CJ54" s="79">
        <v>1</v>
      </c>
      <c r="CK54" s="79">
        <v>1</v>
      </c>
      <c r="CL54" s="79">
        <v>1</v>
      </c>
      <c r="CM54" s="66"/>
      <c r="CN54" s="76"/>
      <c r="CO54" s="78" t="str">
        <f t="shared" si="6"/>
        <v>USD - Hipotecarios Fijo</v>
      </c>
      <c r="CP54" s="79">
        <v>0</v>
      </c>
      <c r="CQ54" s="79">
        <v>0</v>
      </c>
      <c r="CR54" s="79">
        <v>0</v>
      </c>
      <c r="CS54" s="79">
        <v>0</v>
      </c>
      <c r="CT54" s="79">
        <v>0</v>
      </c>
      <c r="CU54" s="79">
        <v>0</v>
      </c>
      <c r="CV54" s="79">
        <v>0</v>
      </c>
      <c r="CW54" s="79">
        <v>0</v>
      </c>
      <c r="CX54" s="79">
        <v>0</v>
      </c>
      <c r="CY54" s="79">
        <v>0</v>
      </c>
      <c r="CZ54" s="79">
        <v>0</v>
      </c>
      <c r="DA54" s="79">
        <v>0</v>
      </c>
      <c r="DB54" s="66"/>
      <c r="DC54" s="66"/>
      <c r="DD54" s="78" t="str">
        <f t="shared" si="7"/>
        <v>USD - Hipotecarios Fijo</v>
      </c>
      <c r="DE54" s="79">
        <v>0</v>
      </c>
      <c r="DF54" s="79">
        <v>0</v>
      </c>
      <c r="DG54" s="79">
        <v>0</v>
      </c>
      <c r="DH54" s="79">
        <v>0</v>
      </c>
      <c r="DI54" s="79">
        <v>0</v>
      </c>
      <c r="DJ54" s="79">
        <v>0</v>
      </c>
      <c r="DK54" s="79">
        <v>0</v>
      </c>
      <c r="DL54" s="79">
        <v>0</v>
      </c>
      <c r="DM54" s="79">
        <v>0</v>
      </c>
      <c r="DN54" s="79">
        <v>0</v>
      </c>
      <c r="DO54" s="79">
        <v>0</v>
      </c>
      <c r="DP54" s="79">
        <v>0</v>
      </c>
      <c r="DQ54" s="66"/>
      <c r="DR54" s="76"/>
      <c r="DS54" s="78" t="str">
        <f t="shared" si="8"/>
        <v>USD - Hipotecarios Fijo</v>
      </c>
      <c r="DT54" s="79">
        <v>0</v>
      </c>
      <c r="DU54" s="79">
        <v>0</v>
      </c>
      <c r="DV54" s="79">
        <v>0</v>
      </c>
      <c r="DW54" s="79">
        <v>0</v>
      </c>
      <c r="DX54" s="79">
        <v>0</v>
      </c>
      <c r="DY54" s="79">
        <v>0</v>
      </c>
      <c r="DZ54" s="79">
        <v>0</v>
      </c>
      <c r="EA54" s="79">
        <v>0</v>
      </c>
      <c r="EB54" s="79">
        <v>0</v>
      </c>
      <c r="EC54" s="79">
        <v>0</v>
      </c>
      <c r="ED54" s="79">
        <v>0</v>
      </c>
      <c r="EE54" s="79">
        <v>0</v>
      </c>
      <c r="EF54" s="66"/>
      <c r="EG54" s="76"/>
      <c r="EH54" s="78" t="str">
        <f t="shared" si="9"/>
        <v>USD - Hipotecarios Fijo</v>
      </c>
      <c r="EI54" s="79">
        <v>0</v>
      </c>
      <c r="EJ54" s="79">
        <v>0</v>
      </c>
      <c r="EK54" s="79">
        <v>0</v>
      </c>
      <c r="EL54" s="79">
        <v>0</v>
      </c>
      <c r="EM54" s="79">
        <v>0</v>
      </c>
      <c r="EN54" s="79">
        <v>0</v>
      </c>
      <c r="EO54" s="79">
        <v>0</v>
      </c>
      <c r="EP54" s="79">
        <v>0</v>
      </c>
      <c r="EQ54" s="79">
        <v>0</v>
      </c>
      <c r="ER54" s="79">
        <v>0</v>
      </c>
      <c r="ES54" s="79">
        <v>0</v>
      </c>
      <c r="ET54" s="79">
        <v>0</v>
      </c>
      <c r="EU54" s="66"/>
      <c r="EV54" s="66"/>
      <c r="EW54" s="66"/>
      <c r="EX54" s="66"/>
      <c r="EY54" s="66"/>
      <c r="EZ54" s="66"/>
      <c r="FA54" s="66"/>
      <c r="FB54" s="66"/>
      <c r="FC54" s="66"/>
      <c r="FD54" s="66"/>
      <c r="FE54" s="66"/>
      <c r="FF54" s="66"/>
      <c r="FG54" s="66"/>
      <c r="FH54" s="66"/>
      <c r="FI54" s="66"/>
      <c r="FJ54" s="76"/>
      <c r="FK54" s="78" t="str">
        <f t="shared" si="10"/>
        <v>USD - Hipotecarios Fijo</v>
      </c>
      <c r="FL54" s="79">
        <v>0</v>
      </c>
      <c r="FM54" s="79">
        <v>0</v>
      </c>
      <c r="FN54" s="79">
        <v>0</v>
      </c>
      <c r="FO54" s="79">
        <v>0</v>
      </c>
      <c r="FP54" s="79">
        <v>0</v>
      </c>
      <c r="FQ54" s="79">
        <v>0</v>
      </c>
      <c r="FR54" s="79">
        <v>0</v>
      </c>
      <c r="FS54" s="79">
        <v>0</v>
      </c>
      <c r="FT54" s="79">
        <v>0</v>
      </c>
      <c r="FU54" s="79">
        <v>0</v>
      </c>
      <c r="FV54" s="79">
        <v>0</v>
      </c>
      <c r="FW54" s="79">
        <v>0</v>
      </c>
      <c r="FX54" s="68"/>
      <c r="FY54" s="76"/>
      <c r="FZ54" s="78" t="str">
        <f t="shared" si="11"/>
        <v>USD - Hipotecarios Fijo</v>
      </c>
      <c r="GA54" s="79" t="s">
        <v>338</v>
      </c>
      <c r="GB54" s="79" t="s">
        <v>338</v>
      </c>
      <c r="GC54" s="79" t="s">
        <v>338</v>
      </c>
      <c r="GD54" s="79" t="s">
        <v>338</v>
      </c>
      <c r="GE54" s="79" t="s">
        <v>338</v>
      </c>
      <c r="GF54" s="79" t="s">
        <v>338</v>
      </c>
      <c r="GG54" s="79" t="s">
        <v>338</v>
      </c>
      <c r="GH54" s="79" t="s">
        <v>338</v>
      </c>
      <c r="GI54" s="79" t="s">
        <v>338</v>
      </c>
      <c r="GJ54" s="79" t="s">
        <v>338</v>
      </c>
      <c r="GK54" s="79" t="s">
        <v>338</v>
      </c>
      <c r="GL54" s="79" t="s">
        <v>338</v>
      </c>
    </row>
    <row r="55" spans="1:194" ht="14.25" customHeight="1" x14ac:dyDescent="0.35">
      <c r="A55" s="65"/>
      <c r="B55" s="75"/>
      <c r="C55" s="76" t="s">
        <v>394</v>
      </c>
      <c r="D55" s="77">
        <v>0</v>
      </c>
      <c r="E55" s="77">
        <v>0</v>
      </c>
      <c r="F55" s="77">
        <v>0</v>
      </c>
      <c r="G55" s="77">
        <v>0</v>
      </c>
      <c r="H55" s="77">
        <v>0</v>
      </c>
      <c r="I55" s="77">
        <v>0</v>
      </c>
      <c r="J55" s="77">
        <v>0</v>
      </c>
      <c r="K55" s="77">
        <v>0</v>
      </c>
      <c r="L55" s="77">
        <v>0</v>
      </c>
      <c r="M55" s="77">
        <v>0</v>
      </c>
      <c r="N55" s="77">
        <v>0</v>
      </c>
      <c r="O55" s="77">
        <v>0</v>
      </c>
      <c r="P55" s="66"/>
      <c r="Q55" s="66"/>
      <c r="R55" s="78" t="str">
        <f t="shared" si="1"/>
        <v>USD - Hipotecarios Variable</v>
      </c>
      <c r="S55" s="79">
        <v>0</v>
      </c>
      <c r="T55" s="79">
        <v>0</v>
      </c>
      <c r="U55" s="79">
        <v>0</v>
      </c>
      <c r="V55" s="79">
        <v>0</v>
      </c>
      <c r="W55" s="79">
        <v>0</v>
      </c>
      <c r="X55" s="79">
        <v>0</v>
      </c>
      <c r="Y55" s="79">
        <v>0</v>
      </c>
      <c r="Z55" s="79">
        <v>0</v>
      </c>
      <c r="AA55" s="79">
        <v>0</v>
      </c>
      <c r="AB55" s="79">
        <v>0</v>
      </c>
      <c r="AC55" s="79">
        <v>0</v>
      </c>
      <c r="AD55" s="79">
        <v>0</v>
      </c>
      <c r="AE55" s="66"/>
      <c r="AF55" s="75"/>
      <c r="AG55" s="78" t="str">
        <f t="shared" si="2"/>
        <v>USD - Hipotecarios Variable</v>
      </c>
      <c r="AH55" s="80">
        <v>0</v>
      </c>
      <c r="AI55" s="80">
        <v>0</v>
      </c>
      <c r="AJ55" s="80">
        <v>0</v>
      </c>
      <c r="AK55" s="80">
        <v>0</v>
      </c>
      <c r="AL55" s="80">
        <v>0</v>
      </c>
      <c r="AM55" s="80">
        <v>0</v>
      </c>
      <c r="AN55" s="80">
        <v>0</v>
      </c>
      <c r="AO55" s="80">
        <v>0</v>
      </c>
      <c r="AP55" s="80">
        <v>0</v>
      </c>
      <c r="AQ55" s="80">
        <v>0</v>
      </c>
      <c r="AR55" s="80">
        <v>0</v>
      </c>
      <c r="AS55" s="80">
        <v>0</v>
      </c>
      <c r="AT55" s="66"/>
      <c r="AU55" s="76"/>
      <c r="AV55" s="78" t="str">
        <f t="shared" si="3"/>
        <v>USD - Hipotecarios Variable</v>
      </c>
      <c r="AW55" s="80">
        <v>0</v>
      </c>
      <c r="AX55" s="80">
        <v>0</v>
      </c>
      <c r="AY55" s="80">
        <v>0</v>
      </c>
      <c r="AZ55" s="80">
        <v>0</v>
      </c>
      <c r="BA55" s="80">
        <v>0</v>
      </c>
      <c r="BB55" s="80">
        <v>0</v>
      </c>
      <c r="BC55" s="80">
        <v>0</v>
      </c>
      <c r="BD55" s="80">
        <v>0</v>
      </c>
      <c r="BE55" s="80">
        <v>0</v>
      </c>
      <c r="BF55" s="80">
        <v>0</v>
      </c>
      <c r="BG55" s="80">
        <v>0</v>
      </c>
      <c r="BH55" s="80">
        <v>0</v>
      </c>
      <c r="BI55" s="66"/>
      <c r="BJ55" s="76"/>
      <c r="BK55" s="78" t="str">
        <f t="shared" si="4"/>
        <v>USD - Hipotecarios Variable</v>
      </c>
      <c r="BL55" s="81" t="s">
        <v>338</v>
      </c>
      <c r="BM55" s="81" t="s">
        <v>338</v>
      </c>
      <c r="BN55" s="81" t="s">
        <v>338</v>
      </c>
      <c r="BO55" s="81" t="s">
        <v>338</v>
      </c>
      <c r="BP55" s="81" t="s">
        <v>338</v>
      </c>
      <c r="BQ55" s="81" t="s">
        <v>338</v>
      </c>
      <c r="BR55" s="81" t="s">
        <v>338</v>
      </c>
      <c r="BS55" s="81" t="s">
        <v>338</v>
      </c>
      <c r="BT55" s="81" t="s">
        <v>338</v>
      </c>
      <c r="BU55" s="81" t="s">
        <v>338</v>
      </c>
      <c r="BV55" s="81" t="s">
        <v>338</v>
      </c>
      <c r="BW55" s="81" t="s">
        <v>338</v>
      </c>
      <c r="BX55" s="66"/>
      <c r="BY55" s="76"/>
      <c r="BZ55" s="78" t="str">
        <f t="shared" si="5"/>
        <v>USD - Hipotecarios Variable</v>
      </c>
      <c r="CA55" s="79">
        <v>1</v>
      </c>
      <c r="CB55" s="79">
        <v>1</v>
      </c>
      <c r="CC55" s="79">
        <v>1</v>
      </c>
      <c r="CD55" s="79">
        <v>1</v>
      </c>
      <c r="CE55" s="79">
        <v>1</v>
      </c>
      <c r="CF55" s="79">
        <v>1</v>
      </c>
      <c r="CG55" s="79">
        <v>1</v>
      </c>
      <c r="CH55" s="79">
        <v>1</v>
      </c>
      <c r="CI55" s="79">
        <v>1</v>
      </c>
      <c r="CJ55" s="79">
        <v>1</v>
      </c>
      <c r="CK55" s="79">
        <v>1</v>
      </c>
      <c r="CL55" s="79">
        <v>1</v>
      </c>
      <c r="CM55" s="66"/>
      <c r="CN55" s="76"/>
      <c r="CO55" s="78" t="str">
        <f t="shared" si="6"/>
        <v>USD - Hipotecarios Variable</v>
      </c>
      <c r="CP55" s="79">
        <v>0</v>
      </c>
      <c r="CQ55" s="79">
        <v>0</v>
      </c>
      <c r="CR55" s="79">
        <v>0</v>
      </c>
      <c r="CS55" s="79">
        <v>0</v>
      </c>
      <c r="CT55" s="79">
        <v>0</v>
      </c>
      <c r="CU55" s="79">
        <v>0</v>
      </c>
      <c r="CV55" s="79">
        <v>0</v>
      </c>
      <c r="CW55" s="79">
        <v>0</v>
      </c>
      <c r="CX55" s="79">
        <v>0</v>
      </c>
      <c r="CY55" s="79">
        <v>0</v>
      </c>
      <c r="CZ55" s="79">
        <v>0</v>
      </c>
      <c r="DA55" s="79">
        <v>0</v>
      </c>
      <c r="DB55" s="66"/>
      <c r="DC55" s="66"/>
      <c r="DD55" s="78" t="str">
        <f t="shared" si="7"/>
        <v>USD - Hipotecarios Variable</v>
      </c>
      <c r="DE55" s="79">
        <v>0</v>
      </c>
      <c r="DF55" s="79">
        <v>0</v>
      </c>
      <c r="DG55" s="79">
        <v>0</v>
      </c>
      <c r="DH55" s="79">
        <v>0</v>
      </c>
      <c r="DI55" s="79">
        <v>0</v>
      </c>
      <c r="DJ55" s="79">
        <v>0</v>
      </c>
      <c r="DK55" s="79">
        <v>0</v>
      </c>
      <c r="DL55" s="79">
        <v>0</v>
      </c>
      <c r="DM55" s="79">
        <v>0</v>
      </c>
      <c r="DN55" s="79">
        <v>0</v>
      </c>
      <c r="DO55" s="79">
        <v>0</v>
      </c>
      <c r="DP55" s="79">
        <v>0</v>
      </c>
      <c r="DQ55" s="66"/>
      <c r="DR55" s="76"/>
      <c r="DS55" s="78" t="str">
        <f t="shared" si="8"/>
        <v>USD - Hipotecarios Variable</v>
      </c>
      <c r="DT55" s="79">
        <v>0</v>
      </c>
      <c r="DU55" s="79">
        <v>0</v>
      </c>
      <c r="DV55" s="79">
        <v>0</v>
      </c>
      <c r="DW55" s="79">
        <v>0</v>
      </c>
      <c r="DX55" s="79">
        <v>0</v>
      </c>
      <c r="DY55" s="79">
        <v>0</v>
      </c>
      <c r="DZ55" s="79">
        <v>0</v>
      </c>
      <c r="EA55" s="79">
        <v>0</v>
      </c>
      <c r="EB55" s="79">
        <v>0</v>
      </c>
      <c r="EC55" s="79">
        <v>0</v>
      </c>
      <c r="ED55" s="79">
        <v>0</v>
      </c>
      <c r="EE55" s="79">
        <v>0</v>
      </c>
      <c r="EF55" s="66"/>
      <c r="EG55" s="76"/>
      <c r="EH55" s="78" t="str">
        <f t="shared" si="9"/>
        <v>USD - Hipotecarios Variable</v>
      </c>
      <c r="EI55" s="79">
        <v>0</v>
      </c>
      <c r="EJ55" s="79">
        <v>0</v>
      </c>
      <c r="EK55" s="79">
        <v>0</v>
      </c>
      <c r="EL55" s="79">
        <v>0</v>
      </c>
      <c r="EM55" s="79">
        <v>0</v>
      </c>
      <c r="EN55" s="79">
        <v>0</v>
      </c>
      <c r="EO55" s="79">
        <v>0</v>
      </c>
      <c r="EP55" s="79">
        <v>0</v>
      </c>
      <c r="EQ55" s="79">
        <v>0</v>
      </c>
      <c r="ER55" s="79">
        <v>0</v>
      </c>
      <c r="ES55" s="79">
        <v>0</v>
      </c>
      <c r="ET55" s="79">
        <v>0</v>
      </c>
      <c r="EU55" s="66"/>
      <c r="EV55" s="66"/>
      <c r="EW55" s="66"/>
      <c r="EX55" s="66"/>
      <c r="EY55" s="66"/>
      <c r="EZ55" s="66"/>
      <c r="FA55" s="66"/>
      <c r="FB55" s="66"/>
      <c r="FC55" s="66"/>
      <c r="FD55" s="66"/>
      <c r="FE55" s="66"/>
      <c r="FF55" s="66"/>
      <c r="FG55" s="66"/>
      <c r="FH55" s="66"/>
      <c r="FI55" s="66"/>
      <c r="FJ55" s="76"/>
      <c r="FK55" s="78" t="str">
        <f t="shared" si="10"/>
        <v>USD - Hipotecarios Variable</v>
      </c>
      <c r="FL55" s="79">
        <v>0</v>
      </c>
      <c r="FM55" s="79">
        <v>0</v>
      </c>
      <c r="FN55" s="79">
        <v>0</v>
      </c>
      <c r="FO55" s="79">
        <v>0</v>
      </c>
      <c r="FP55" s="79">
        <v>0</v>
      </c>
      <c r="FQ55" s="79">
        <v>0</v>
      </c>
      <c r="FR55" s="79">
        <v>0</v>
      </c>
      <c r="FS55" s="79">
        <v>0</v>
      </c>
      <c r="FT55" s="79">
        <v>0</v>
      </c>
      <c r="FU55" s="79">
        <v>0</v>
      </c>
      <c r="FV55" s="79">
        <v>0</v>
      </c>
      <c r="FW55" s="79">
        <v>0</v>
      </c>
      <c r="FX55" s="68"/>
      <c r="FY55" s="76"/>
      <c r="FZ55" s="78" t="str">
        <f t="shared" si="11"/>
        <v>USD - Hipotecarios Variable</v>
      </c>
      <c r="GA55" s="79" t="s">
        <v>338</v>
      </c>
      <c r="GB55" s="79" t="s">
        <v>338</v>
      </c>
      <c r="GC55" s="79" t="s">
        <v>338</v>
      </c>
      <c r="GD55" s="79" t="s">
        <v>338</v>
      </c>
      <c r="GE55" s="79" t="s">
        <v>338</v>
      </c>
      <c r="GF55" s="79" t="s">
        <v>338</v>
      </c>
      <c r="GG55" s="79" t="s">
        <v>338</v>
      </c>
      <c r="GH55" s="79" t="s">
        <v>338</v>
      </c>
      <c r="GI55" s="79" t="s">
        <v>338</v>
      </c>
      <c r="GJ55" s="79" t="s">
        <v>338</v>
      </c>
      <c r="GK55" s="79" t="s">
        <v>338</v>
      </c>
      <c r="GL55" s="79" t="s">
        <v>338</v>
      </c>
    </row>
    <row r="56" spans="1:194" ht="14.25" customHeight="1" x14ac:dyDescent="0.35">
      <c r="A56" s="65"/>
      <c r="B56" s="75"/>
      <c r="C56" s="76" t="s">
        <v>395</v>
      </c>
      <c r="D56" s="77">
        <v>0</v>
      </c>
      <c r="E56" s="77">
        <v>0</v>
      </c>
      <c r="F56" s="77">
        <v>0</v>
      </c>
      <c r="G56" s="77">
        <v>0</v>
      </c>
      <c r="H56" s="77">
        <v>0</v>
      </c>
      <c r="I56" s="77">
        <v>0</v>
      </c>
      <c r="J56" s="77">
        <v>0</v>
      </c>
      <c r="K56" s="77">
        <v>0</v>
      </c>
      <c r="L56" s="77">
        <v>0</v>
      </c>
      <c r="M56" s="77">
        <v>0</v>
      </c>
      <c r="N56" s="77">
        <v>0</v>
      </c>
      <c r="O56" s="77">
        <v>0</v>
      </c>
      <c r="P56" s="66"/>
      <c r="Q56" s="66"/>
      <c r="R56" s="78" t="str">
        <f t="shared" si="1"/>
        <v>USD - Resto particulares</v>
      </c>
      <c r="S56" s="79">
        <v>0</v>
      </c>
      <c r="T56" s="79">
        <v>0</v>
      </c>
      <c r="U56" s="79">
        <v>0</v>
      </c>
      <c r="V56" s="79">
        <v>0</v>
      </c>
      <c r="W56" s="79">
        <v>0</v>
      </c>
      <c r="X56" s="79">
        <v>0</v>
      </c>
      <c r="Y56" s="79">
        <v>0</v>
      </c>
      <c r="Z56" s="79">
        <v>0</v>
      </c>
      <c r="AA56" s="79">
        <v>0</v>
      </c>
      <c r="AB56" s="79">
        <v>0</v>
      </c>
      <c r="AC56" s="79">
        <v>0</v>
      </c>
      <c r="AD56" s="79">
        <v>0</v>
      </c>
      <c r="AE56" s="66"/>
      <c r="AF56" s="75"/>
      <c r="AG56" s="78" t="str">
        <f t="shared" si="2"/>
        <v>USD - Resto particulares</v>
      </c>
      <c r="AH56" s="80">
        <v>0</v>
      </c>
      <c r="AI56" s="80">
        <v>0</v>
      </c>
      <c r="AJ56" s="80">
        <v>0</v>
      </c>
      <c r="AK56" s="80">
        <v>0</v>
      </c>
      <c r="AL56" s="80">
        <v>0</v>
      </c>
      <c r="AM56" s="80">
        <v>0</v>
      </c>
      <c r="AN56" s="80">
        <v>0</v>
      </c>
      <c r="AO56" s="80">
        <v>0</v>
      </c>
      <c r="AP56" s="80">
        <v>0</v>
      </c>
      <c r="AQ56" s="80">
        <v>0</v>
      </c>
      <c r="AR56" s="80">
        <v>0</v>
      </c>
      <c r="AS56" s="80">
        <v>0</v>
      </c>
      <c r="AT56" s="66"/>
      <c r="AU56" s="76"/>
      <c r="AV56" s="78" t="str">
        <f t="shared" si="3"/>
        <v>USD - Resto particulares</v>
      </c>
      <c r="AW56" s="80">
        <v>0</v>
      </c>
      <c r="AX56" s="80">
        <v>0</v>
      </c>
      <c r="AY56" s="80">
        <v>0</v>
      </c>
      <c r="AZ56" s="80">
        <v>0</v>
      </c>
      <c r="BA56" s="80">
        <v>0</v>
      </c>
      <c r="BB56" s="80">
        <v>0</v>
      </c>
      <c r="BC56" s="80">
        <v>0</v>
      </c>
      <c r="BD56" s="80">
        <v>0</v>
      </c>
      <c r="BE56" s="80">
        <v>0</v>
      </c>
      <c r="BF56" s="80">
        <v>0</v>
      </c>
      <c r="BG56" s="80">
        <v>0</v>
      </c>
      <c r="BH56" s="80">
        <v>0</v>
      </c>
      <c r="BI56" s="66"/>
      <c r="BJ56" s="76"/>
      <c r="BK56" s="78" t="str">
        <f t="shared" si="4"/>
        <v>USD - Resto particulares</v>
      </c>
      <c r="BL56" s="81" t="s">
        <v>338</v>
      </c>
      <c r="BM56" s="81" t="s">
        <v>338</v>
      </c>
      <c r="BN56" s="81" t="s">
        <v>338</v>
      </c>
      <c r="BO56" s="81" t="s">
        <v>338</v>
      </c>
      <c r="BP56" s="81" t="s">
        <v>338</v>
      </c>
      <c r="BQ56" s="81" t="s">
        <v>338</v>
      </c>
      <c r="BR56" s="81" t="s">
        <v>338</v>
      </c>
      <c r="BS56" s="81" t="s">
        <v>338</v>
      </c>
      <c r="BT56" s="81" t="s">
        <v>338</v>
      </c>
      <c r="BU56" s="81" t="s">
        <v>338</v>
      </c>
      <c r="BV56" s="81" t="s">
        <v>338</v>
      </c>
      <c r="BW56" s="81" t="s">
        <v>338</v>
      </c>
      <c r="BX56" s="66"/>
      <c r="BY56" s="76"/>
      <c r="BZ56" s="78" t="str">
        <f t="shared" si="5"/>
        <v>USD - Resto particulares</v>
      </c>
      <c r="CA56" s="79">
        <v>1</v>
      </c>
      <c r="CB56" s="79">
        <v>1</v>
      </c>
      <c r="CC56" s="79">
        <v>1</v>
      </c>
      <c r="CD56" s="79">
        <v>1</v>
      </c>
      <c r="CE56" s="79">
        <v>1</v>
      </c>
      <c r="CF56" s="79">
        <v>1</v>
      </c>
      <c r="CG56" s="79">
        <v>1</v>
      </c>
      <c r="CH56" s="79">
        <v>1</v>
      </c>
      <c r="CI56" s="79">
        <v>1</v>
      </c>
      <c r="CJ56" s="79">
        <v>1</v>
      </c>
      <c r="CK56" s="79">
        <v>1</v>
      </c>
      <c r="CL56" s="79">
        <v>1</v>
      </c>
      <c r="CM56" s="66"/>
      <c r="CN56" s="76"/>
      <c r="CO56" s="78" t="str">
        <f t="shared" si="6"/>
        <v>USD - Resto particulares</v>
      </c>
      <c r="CP56" s="79">
        <v>0</v>
      </c>
      <c r="CQ56" s="79">
        <v>0</v>
      </c>
      <c r="CR56" s="79">
        <v>0</v>
      </c>
      <c r="CS56" s="79">
        <v>0</v>
      </c>
      <c r="CT56" s="79">
        <v>0</v>
      </c>
      <c r="CU56" s="79">
        <v>0</v>
      </c>
      <c r="CV56" s="79">
        <v>0</v>
      </c>
      <c r="CW56" s="79">
        <v>0</v>
      </c>
      <c r="CX56" s="79">
        <v>0</v>
      </c>
      <c r="CY56" s="79">
        <v>0</v>
      </c>
      <c r="CZ56" s="79">
        <v>0</v>
      </c>
      <c r="DA56" s="79">
        <v>0</v>
      </c>
      <c r="DB56" s="66"/>
      <c r="DC56" s="66"/>
      <c r="DD56" s="78" t="str">
        <f t="shared" si="7"/>
        <v>USD - Resto particulares</v>
      </c>
      <c r="DE56" s="79">
        <v>0</v>
      </c>
      <c r="DF56" s="79">
        <v>0</v>
      </c>
      <c r="DG56" s="79">
        <v>0</v>
      </c>
      <c r="DH56" s="79">
        <v>0</v>
      </c>
      <c r="DI56" s="79">
        <v>0</v>
      </c>
      <c r="DJ56" s="79">
        <v>0</v>
      </c>
      <c r="DK56" s="79">
        <v>0</v>
      </c>
      <c r="DL56" s="79">
        <v>0</v>
      </c>
      <c r="DM56" s="79">
        <v>0</v>
      </c>
      <c r="DN56" s="79">
        <v>0</v>
      </c>
      <c r="DO56" s="79">
        <v>0</v>
      </c>
      <c r="DP56" s="79">
        <v>0</v>
      </c>
      <c r="DQ56" s="66"/>
      <c r="DR56" s="76"/>
      <c r="DS56" s="78" t="str">
        <f t="shared" si="8"/>
        <v>USD - Resto particulares</v>
      </c>
      <c r="DT56" s="79">
        <v>0</v>
      </c>
      <c r="DU56" s="79">
        <v>0</v>
      </c>
      <c r="DV56" s="79">
        <v>0</v>
      </c>
      <c r="DW56" s="79">
        <v>0</v>
      </c>
      <c r="DX56" s="79">
        <v>0</v>
      </c>
      <c r="DY56" s="79">
        <v>0</v>
      </c>
      <c r="DZ56" s="79">
        <v>0</v>
      </c>
      <c r="EA56" s="79">
        <v>0</v>
      </c>
      <c r="EB56" s="79">
        <v>0</v>
      </c>
      <c r="EC56" s="79">
        <v>0</v>
      </c>
      <c r="ED56" s="79">
        <v>0</v>
      </c>
      <c r="EE56" s="79">
        <v>0</v>
      </c>
      <c r="EF56" s="66"/>
      <c r="EG56" s="76"/>
      <c r="EH56" s="78" t="str">
        <f t="shared" si="9"/>
        <v>USD - Resto particulares</v>
      </c>
      <c r="EI56" s="79">
        <v>0</v>
      </c>
      <c r="EJ56" s="79">
        <v>0</v>
      </c>
      <c r="EK56" s="79">
        <v>0</v>
      </c>
      <c r="EL56" s="79">
        <v>0</v>
      </c>
      <c r="EM56" s="79">
        <v>0</v>
      </c>
      <c r="EN56" s="79">
        <v>0</v>
      </c>
      <c r="EO56" s="79">
        <v>0</v>
      </c>
      <c r="EP56" s="79">
        <v>0</v>
      </c>
      <c r="EQ56" s="79">
        <v>0</v>
      </c>
      <c r="ER56" s="79">
        <v>0</v>
      </c>
      <c r="ES56" s="79">
        <v>0</v>
      </c>
      <c r="ET56" s="79">
        <v>0</v>
      </c>
      <c r="EU56" s="66"/>
      <c r="EV56" s="66"/>
      <c r="EW56" s="66"/>
      <c r="EX56" s="66"/>
      <c r="EY56" s="66"/>
      <c r="EZ56" s="66"/>
      <c r="FA56" s="66"/>
      <c r="FB56" s="66"/>
      <c r="FC56" s="66"/>
      <c r="FD56" s="66"/>
      <c r="FE56" s="66"/>
      <c r="FF56" s="66"/>
      <c r="FG56" s="66"/>
      <c r="FH56" s="66"/>
      <c r="FI56" s="66"/>
      <c r="FJ56" s="76"/>
      <c r="FK56" s="78" t="str">
        <f t="shared" si="10"/>
        <v>USD - Resto particulares</v>
      </c>
      <c r="FL56" s="79">
        <v>0</v>
      </c>
      <c r="FM56" s="79">
        <v>0</v>
      </c>
      <c r="FN56" s="79">
        <v>0</v>
      </c>
      <c r="FO56" s="79">
        <v>0</v>
      </c>
      <c r="FP56" s="79">
        <v>0</v>
      </c>
      <c r="FQ56" s="79">
        <v>0</v>
      </c>
      <c r="FR56" s="79">
        <v>0</v>
      </c>
      <c r="FS56" s="79">
        <v>0</v>
      </c>
      <c r="FT56" s="79">
        <v>0</v>
      </c>
      <c r="FU56" s="79">
        <v>0</v>
      </c>
      <c r="FV56" s="79">
        <v>0</v>
      </c>
      <c r="FW56" s="79">
        <v>0</v>
      </c>
      <c r="FX56" s="66"/>
      <c r="FY56" s="76"/>
      <c r="FZ56" s="78" t="str">
        <f t="shared" si="11"/>
        <v>USD - Resto particulares</v>
      </c>
      <c r="GA56" s="79" t="s">
        <v>338</v>
      </c>
      <c r="GB56" s="79" t="s">
        <v>338</v>
      </c>
      <c r="GC56" s="79" t="s">
        <v>338</v>
      </c>
      <c r="GD56" s="79" t="s">
        <v>338</v>
      </c>
      <c r="GE56" s="79" t="s">
        <v>338</v>
      </c>
      <c r="GF56" s="79" t="s">
        <v>338</v>
      </c>
      <c r="GG56" s="79" t="s">
        <v>338</v>
      </c>
      <c r="GH56" s="79" t="s">
        <v>338</v>
      </c>
      <c r="GI56" s="79" t="s">
        <v>338</v>
      </c>
      <c r="GJ56" s="79" t="s">
        <v>338</v>
      </c>
      <c r="GK56" s="79" t="s">
        <v>338</v>
      </c>
      <c r="GL56" s="79" t="s">
        <v>338</v>
      </c>
    </row>
    <row r="57" spans="1:194" ht="14.25" customHeight="1" x14ac:dyDescent="0.35">
      <c r="A57" s="65"/>
      <c r="B57" s="75"/>
      <c r="C57" s="76" t="s">
        <v>396</v>
      </c>
      <c r="D57" s="77">
        <v>-42746.870739827951</v>
      </c>
      <c r="E57" s="77">
        <v>-42746.870739827951</v>
      </c>
      <c r="F57" s="77">
        <v>-42746.870739827951</v>
      </c>
      <c r="G57" s="77">
        <v>-42746.870739827951</v>
      </c>
      <c r="H57" s="77">
        <v>-42746.870739827951</v>
      </c>
      <c r="I57" s="77">
        <v>-42746.870739827951</v>
      </c>
      <c r="J57" s="77">
        <v>-42746.870739827951</v>
      </c>
      <c r="K57" s="77">
        <v>-42746.870739827951</v>
      </c>
      <c r="L57" s="77">
        <v>-42746.870739827951</v>
      </c>
      <c r="M57" s="77">
        <v>-42746.870739827951</v>
      </c>
      <c r="N57" s="77">
        <v>-42746.870739827951</v>
      </c>
      <c r="O57" s="77">
        <v>-42746.870739827951</v>
      </c>
      <c r="P57" s="66"/>
      <c r="Q57" s="66"/>
      <c r="R57" s="78" t="str">
        <f t="shared" si="1"/>
        <v>USD - Cartera empresas Fijo</v>
      </c>
      <c r="S57" s="79">
        <v>0</v>
      </c>
      <c r="T57" s="79">
        <v>0</v>
      </c>
      <c r="U57" s="79">
        <v>0</v>
      </c>
      <c r="V57" s="79">
        <v>0</v>
      </c>
      <c r="W57" s="79">
        <v>0</v>
      </c>
      <c r="X57" s="79">
        <v>0</v>
      </c>
      <c r="Y57" s="79">
        <v>0</v>
      </c>
      <c r="Z57" s="79">
        <v>0</v>
      </c>
      <c r="AA57" s="79">
        <v>0</v>
      </c>
      <c r="AB57" s="79">
        <v>0</v>
      </c>
      <c r="AC57" s="79">
        <v>0</v>
      </c>
      <c r="AD57" s="79">
        <v>0</v>
      </c>
      <c r="AE57" s="66"/>
      <c r="AF57" s="75"/>
      <c r="AG57" s="78" t="str">
        <f t="shared" si="2"/>
        <v>USD - Cartera empresas Fijo</v>
      </c>
      <c r="AH57" s="80">
        <v>0.03</v>
      </c>
      <c r="AI57" s="80">
        <v>0.03</v>
      </c>
      <c r="AJ57" s="80">
        <v>0.03</v>
      </c>
      <c r="AK57" s="80">
        <v>0.03</v>
      </c>
      <c r="AL57" s="80">
        <v>0.03</v>
      </c>
      <c r="AM57" s="80">
        <v>0.03</v>
      </c>
      <c r="AN57" s="80">
        <v>0.03</v>
      </c>
      <c r="AO57" s="80">
        <v>0.03</v>
      </c>
      <c r="AP57" s="80">
        <v>0.03</v>
      </c>
      <c r="AQ57" s="80">
        <v>0.03</v>
      </c>
      <c r="AR57" s="80">
        <v>0.03</v>
      </c>
      <c r="AS57" s="80">
        <v>0.03</v>
      </c>
      <c r="AT57" s="66"/>
      <c r="AU57" s="76"/>
      <c r="AV57" s="78" t="str">
        <f t="shared" si="3"/>
        <v>USD - Cartera empresas Fijo</v>
      </c>
      <c r="AW57" s="80">
        <v>0</v>
      </c>
      <c r="AX57" s="80">
        <v>0</v>
      </c>
      <c r="AY57" s="80">
        <v>0</v>
      </c>
      <c r="AZ57" s="80">
        <v>0</v>
      </c>
      <c r="BA57" s="80">
        <v>0</v>
      </c>
      <c r="BB57" s="80">
        <v>0</v>
      </c>
      <c r="BC57" s="80">
        <v>0</v>
      </c>
      <c r="BD57" s="80">
        <v>0</v>
      </c>
      <c r="BE57" s="80">
        <v>0</v>
      </c>
      <c r="BF57" s="80">
        <v>0</v>
      </c>
      <c r="BG57" s="80">
        <v>0</v>
      </c>
      <c r="BH57" s="80">
        <v>0</v>
      </c>
      <c r="BI57" s="66"/>
      <c r="BJ57" s="76"/>
      <c r="BK57" s="78" t="str">
        <f t="shared" si="4"/>
        <v>USD - Cartera empresas Fijo</v>
      </c>
      <c r="BL57" s="81" t="s">
        <v>338</v>
      </c>
      <c r="BM57" s="81" t="s">
        <v>338</v>
      </c>
      <c r="BN57" s="81" t="s">
        <v>338</v>
      </c>
      <c r="BO57" s="81" t="s">
        <v>338</v>
      </c>
      <c r="BP57" s="81" t="s">
        <v>338</v>
      </c>
      <c r="BQ57" s="81" t="s">
        <v>338</v>
      </c>
      <c r="BR57" s="81" t="s">
        <v>338</v>
      </c>
      <c r="BS57" s="81" t="s">
        <v>338</v>
      </c>
      <c r="BT57" s="81" t="s">
        <v>338</v>
      </c>
      <c r="BU57" s="81" t="s">
        <v>338</v>
      </c>
      <c r="BV57" s="81" t="s">
        <v>338</v>
      </c>
      <c r="BW57" s="81" t="s">
        <v>338</v>
      </c>
      <c r="BX57" s="66"/>
      <c r="BY57" s="76"/>
      <c r="BZ57" s="78" t="str">
        <f t="shared" si="5"/>
        <v>USD - Cartera empresas Fijo</v>
      </c>
      <c r="CA57" s="79">
        <v>1</v>
      </c>
      <c r="CB57" s="79">
        <v>1</v>
      </c>
      <c r="CC57" s="79">
        <v>1</v>
      </c>
      <c r="CD57" s="79">
        <v>1</v>
      </c>
      <c r="CE57" s="79">
        <v>1</v>
      </c>
      <c r="CF57" s="79">
        <v>1</v>
      </c>
      <c r="CG57" s="79">
        <v>1</v>
      </c>
      <c r="CH57" s="79">
        <v>1</v>
      </c>
      <c r="CI57" s="79">
        <v>1</v>
      </c>
      <c r="CJ57" s="79">
        <v>1</v>
      </c>
      <c r="CK57" s="79">
        <v>1</v>
      </c>
      <c r="CL57" s="79">
        <v>1</v>
      </c>
      <c r="CM57" s="66"/>
      <c r="CN57" s="76"/>
      <c r="CO57" s="78" t="str">
        <f t="shared" si="6"/>
        <v>USD - Cartera empresas Fijo</v>
      </c>
      <c r="CP57" s="79">
        <v>0</v>
      </c>
      <c r="CQ57" s="79">
        <v>0</v>
      </c>
      <c r="CR57" s="79">
        <v>0</v>
      </c>
      <c r="CS57" s="79">
        <v>0</v>
      </c>
      <c r="CT57" s="79">
        <v>0</v>
      </c>
      <c r="CU57" s="79">
        <v>0</v>
      </c>
      <c r="CV57" s="79">
        <v>0</v>
      </c>
      <c r="CW57" s="79">
        <v>0</v>
      </c>
      <c r="CX57" s="79">
        <v>0</v>
      </c>
      <c r="CY57" s="79">
        <v>0</v>
      </c>
      <c r="CZ57" s="79">
        <v>0</v>
      </c>
      <c r="DA57" s="79">
        <v>0</v>
      </c>
      <c r="DB57" s="66"/>
      <c r="DC57" s="66"/>
      <c r="DD57" s="78" t="str">
        <f t="shared" si="7"/>
        <v>USD - Cartera empresas Fijo</v>
      </c>
      <c r="DE57" s="79">
        <v>0</v>
      </c>
      <c r="DF57" s="79">
        <v>0</v>
      </c>
      <c r="DG57" s="79">
        <v>0</v>
      </c>
      <c r="DH57" s="79">
        <v>0</v>
      </c>
      <c r="DI57" s="79">
        <v>0</v>
      </c>
      <c r="DJ57" s="79">
        <v>0</v>
      </c>
      <c r="DK57" s="79">
        <v>0</v>
      </c>
      <c r="DL57" s="79">
        <v>0</v>
      </c>
      <c r="DM57" s="79">
        <v>0</v>
      </c>
      <c r="DN57" s="79">
        <v>0</v>
      </c>
      <c r="DO57" s="79">
        <v>0</v>
      </c>
      <c r="DP57" s="79">
        <v>0</v>
      </c>
      <c r="DQ57" s="66"/>
      <c r="DR57" s="76"/>
      <c r="DS57" s="78" t="str">
        <f t="shared" si="8"/>
        <v>USD - Cartera empresas Fijo</v>
      </c>
      <c r="DT57" s="79">
        <v>0</v>
      </c>
      <c r="DU57" s="79">
        <v>0</v>
      </c>
      <c r="DV57" s="79">
        <v>0</v>
      </c>
      <c r="DW57" s="79">
        <v>0</v>
      </c>
      <c r="DX57" s="79">
        <v>0</v>
      </c>
      <c r="DY57" s="79">
        <v>0</v>
      </c>
      <c r="DZ57" s="79">
        <v>0</v>
      </c>
      <c r="EA57" s="79">
        <v>0</v>
      </c>
      <c r="EB57" s="79">
        <v>0</v>
      </c>
      <c r="EC57" s="79">
        <v>0</v>
      </c>
      <c r="ED57" s="79">
        <v>0</v>
      </c>
      <c r="EE57" s="79">
        <v>0</v>
      </c>
      <c r="EF57" s="66"/>
      <c r="EG57" s="76"/>
      <c r="EH57" s="78" t="str">
        <f t="shared" si="9"/>
        <v>USD - Cartera empresas Fijo</v>
      </c>
      <c r="EI57" s="79">
        <v>0</v>
      </c>
      <c r="EJ57" s="79">
        <v>0</v>
      </c>
      <c r="EK57" s="79">
        <v>0</v>
      </c>
      <c r="EL57" s="79">
        <v>0</v>
      </c>
      <c r="EM57" s="79">
        <v>0</v>
      </c>
      <c r="EN57" s="79">
        <v>0</v>
      </c>
      <c r="EO57" s="79">
        <v>0</v>
      </c>
      <c r="EP57" s="79">
        <v>0</v>
      </c>
      <c r="EQ57" s="79">
        <v>0</v>
      </c>
      <c r="ER57" s="79">
        <v>0</v>
      </c>
      <c r="ES57" s="79">
        <v>0</v>
      </c>
      <c r="ET57" s="79">
        <v>0</v>
      </c>
      <c r="EU57" s="66"/>
      <c r="EV57" s="66"/>
      <c r="EW57" s="66"/>
      <c r="EX57" s="66"/>
      <c r="EY57" s="66"/>
      <c r="EZ57" s="66"/>
      <c r="FA57" s="66"/>
      <c r="FB57" s="66"/>
      <c r="FC57" s="66"/>
      <c r="FD57" s="66"/>
      <c r="FE57" s="66"/>
      <c r="FF57" s="66"/>
      <c r="FG57" s="66"/>
      <c r="FH57" s="66"/>
      <c r="FI57" s="66"/>
      <c r="FJ57" s="76"/>
      <c r="FK57" s="78" t="str">
        <f t="shared" si="10"/>
        <v>USD - Cartera empresas Fijo</v>
      </c>
      <c r="FL57" s="79">
        <v>0</v>
      </c>
      <c r="FM57" s="79">
        <v>0</v>
      </c>
      <c r="FN57" s="79">
        <v>0</v>
      </c>
      <c r="FO57" s="79">
        <v>0</v>
      </c>
      <c r="FP57" s="79">
        <v>0</v>
      </c>
      <c r="FQ57" s="79">
        <v>0</v>
      </c>
      <c r="FR57" s="79">
        <v>0</v>
      </c>
      <c r="FS57" s="79">
        <v>0</v>
      </c>
      <c r="FT57" s="79">
        <v>0</v>
      </c>
      <c r="FU57" s="79">
        <v>0</v>
      </c>
      <c r="FV57" s="79">
        <v>0</v>
      </c>
      <c r="FW57" s="79">
        <v>0</v>
      </c>
      <c r="FX57" s="66"/>
      <c r="FY57" s="76"/>
      <c r="FZ57" s="78" t="str">
        <f t="shared" si="11"/>
        <v>USD - Cartera empresas Fijo</v>
      </c>
      <c r="GA57" s="79" t="s">
        <v>338</v>
      </c>
      <c r="GB57" s="79" t="s">
        <v>338</v>
      </c>
      <c r="GC57" s="79" t="s">
        <v>338</v>
      </c>
      <c r="GD57" s="79" t="s">
        <v>338</v>
      </c>
      <c r="GE57" s="79" t="s">
        <v>338</v>
      </c>
      <c r="GF57" s="79" t="s">
        <v>338</v>
      </c>
      <c r="GG57" s="79" t="s">
        <v>338</v>
      </c>
      <c r="GH57" s="79" t="s">
        <v>338</v>
      </c>
      <c r="GI57" s="79" t="s">
        <v>338</v>
      </c>
      <c r="GJ57" s="79" t="s">
        <v>338</v>
      </c>
      <c r="GK57" s="79" t="s">
        <v>338</v>
      </c>
      <c r="GL57" s="79" t="s">
        <v>338</v>
      </c>
    </row>
    <row r="58" spans="1:194" ht="14.25" customHeight="1" x14ac:dyDescent="0.35">
      <c r="A58" s="65"/>
      <c r="B58" s="75"/>
      <c r="C58" s="76" t="s">
        <v>397</v>
      </c>
      <c r="D58" s="77">
        <v>0</v>
      </c>
      <c r="E58" s="77">
        <v>0</v>
      </c>
      <c r="F58" s="77">
        <v>0</v>
      </c>
      <c r="G58" s="77">
        <v>0</v>
      </c>
      <c r="H58" s="77">
        <v>0</v>
      </c>
      <c r="I58" s="77">
        <v>0</v>
      </c>
      <c r="J58" s="77">
        <v>0</v>
      </c>
      <c r="K58" s="77">
        <v>0</v>
      </c>
      <c r="L58" s="77">
        <v>0</v>
      </c>
      <c r="M58" s="77">
        <v>0</v>
      </c>
      <c r="N58" s="77">
        <v>0</v>
      </c>
      <c r="O58" s="77">
        <v>0</v>
      </c>
      <c r="P58" s="66"/>
      <c r="Q58" s="66"/>
      <c r="R58" s="78" t="str">
        <f t="shared" si="1"/>
        <v>USD - Cartera empresas Variable</v>
      </c>
      <c r="S58" s="79">
        <v>0</v>
      </c>
      <c r="T58" s="79">
        <v>0</v>
      </c>
      <c r="U58" s="79">
        <v>0</v>
      </c>
      <c r="V58" s="79">
        <v>0</v>
      </c>
      <c r="W58" s="79">
        <v>0</v>
      </c>
      <c r="X58" s="79">
        <v>0</v>
      </c>
      <c r="Y58" s="79">
        <v>0</v>
      </c>
      <c r="Z58" s="79">
        <v>0</v>
      </c>
      <c r="AA58" s="79">
        <v>0</v>
      </c>
      <c r="AB58" s="79">
        <v>0</v>
      </c>
      <c r="AC58" s="79">
        <v>0</v>
      </c>
      <c r="AD58" s="79">
        <v>0</v>
      </c>
      <c r="AE58" s="66"/>
      <c r="AF58" s="75"/>
      <c r="AG58" s="78" t="str">
        <f t="shared" si="2"/>
        <v>USD - Cartera empresas Variable</v>
      </c>
      <c r="AH58" s="80">
        <v>0</v>
      </c>
      <c r="AI58" s="80">
        <v>0</v>
      </c>
      <c r="AJ58" s="80">
        <v>0</v>
      </c>
      <c r="AK58" s="80">
        <v>0</v>
      </c>
      <c r="AL58" s="80">
        <v>0</v>
      </c>
      <c r="AM58" s="80">
        <v>0</v>
      </c>
      <c r="AN58" s="80">
        <v>0</v>
      </c>
      <c r="AO58" s="80">
        <v>0</v>
      </c>
      <c r="AP58" s="80">
        <v>0</v>
      </c>
      <c r="AQ58" s="80">
        <v>0</v>
      </c>
      <c r="AR58" s="80">
        <v>0</v>
      </c>
      <c r="AS58" s="80">
        <v>0</v>
      </c>
      <c r="AT58" s="66"/>
      <c r="AU58" s="76"/>
      <c r="AV58" s="78" t="str">
        <f t="shared" si="3"/>
        <v>USD - Cartera empresas Variable</v>
      </c>
      <c r="AW58" s="80">
        <v>0</v>
      </c>
      <c r="AX58" s="80">
        <v>0</v>
      </c>
      <c r="AY58" s="80">
        <v>0</v>
      </c>
      <c r="AZ58" s="80">
        <v>0</v>
      </c>
      <c r="BA58" s="80">
        <v>0</v>
      </c>
      <c r="BB58" s="80">
        <v>0</v>
      </c>
      <c r="BC58" s="80">
        <v>0</v>
      </c>
      <c r="BD58" s="80">
        <v>0</v>
      </c>
      <c r="BE58" s="80">
        <v>0</v>
      </c>
      <c r="BF58" s="80">
        <v>0</v>
      </c>
      <c r="BG58" s="80">
        <v>0</v>
      </c>
      <c r="BH58" s="80">
        <v>0</v>
      </c>
      <c r="BI58" s="66"/>
      <c r="BJ58" s="76"/>
      <c r="BK58" s="78" t="str">
        <f t="shared" si="4"/>
        <v>USD - Cartera empresas Variable</v>
      </c>
      <c r="BL58" s="81" t="s">
        <v>338</v>
      </c>
      <c r="BM58" s="81" t="s">
        <v>338</v>
      </c>
      <c r="BN58" s="81" t="s">
        <v>338</v>
      </c>
      <c r="BO58" s="81" t="s">
        <v>338</v>
      </c>
      <c r="BP58" s="81" t="s">
        <v>338</v>
      </c>
      <c r="BQ58" s="81" t="s">
        <v>338</v>
      </c>
      <c r="BR58" s="81" t="s">
        <v>338</v>
      </c>
      <c r="BS58" s="81" t="s">
        <v>338</v>
      </c>
      <c r="BT58" s="81" t="s">
        <v>338</v>
      </c>
      <c r="BU58" s="81" t="s">
        <v>338</v>
      </c>
      <c r="BV58" s="81" t="s">
        <v>338</v>
      </c>
      <c r="BW58" s="81" t="s">
        <v>338</v>
      </c>
      <c r="BX58" s="66"/>
      <c r="BY58" s="76"/>
      <c r="BZ58" s="78" t="str">
        <f t="shared" si="5"/>
        <v>USD - Cartera empresas Variable</v>
      </c>
      <c r="CA58" s="79">
        <v>1</v>
      </c>
      <c r="CB58" s="79">
        <v>1</v>
      </c>
      <c r="CC58" s="79">
        <v>1</v>
      </c>
      <c r="CD58" s="79">
        <v>1</v>
      </c>
      <c r="CE58" s="79">
        <v>1</v>
      </c>
      <c r="CF58" s="79">
        <v>1</v>
      </c>
      <c r="CG58" s="79">
        <v>1</v>
      </c>
      <c r="CH58" s="79">
        <v>1</v>
      </c>
      <c r="CI58" s="79">
        <v>1</v>
      </c>
      <c r="CJ58" s="79">
        <v>1</v>
      </c>
      <c r="CK58" s="79">
        <v>1</v>
      </c>
      <c r="CL58" s="79">
        <v>1</v>
      </c>
      <c r="CM58" s="66"/>
      <c r="CN58" s="76"/>
      <c r="CO58" s="78" t="str">
        <f t="shared" si="6"/>
        <v>USD - Cartera empresas Variable</v>
      </c>
      <c r="CP58" s="79">
        <v>0</v>
      </c>
      <c r="CQ58" s="79">
        <v>0</v>
      </c>
      <c r="CR58" s="79">
        <v>0</v>
      </c>
      <c r="CS58" s="79">
        <v>0</v>
      </c>
      <c r="CT58" s="79">
        <v>0</v>
      </c>
      <c r="CU58" s="79">
        <v>0</v>
      </c>
      <c r="CV58" s="79">
        <v>0</v>
      </c>
      <c r="CW58" s="79">
        <v>0</v>
      </c>
      <c r="CX58" s="79">
        <v>0</v>
      </c>
      <c r="CY58" s="79">
        <v>0</v>
      </c>
      <c r="CZ58" s="79">
        <v>0</v>
      </c>
      <c r="DA58" s="79">
        <v>0</v>
      </c>
      <c r="DB58" s="66"/>
      <c r="DC58" s="66"/>
      <c r="DD58" s="78" t="str">
        <f t="shared" si="7"/>
        <v>USD - Cartera empresas Variable</v>
      </c>
      <c r="DE58" s="79">
        <v>0</v>
      </c>
      <c r="DF58" s="79">
        <v>0</v>
      </c>
      <c r="DG58" s="79">
        <v>0</v>
      </c>
      <c r="DH58" s="79">
        <v>0</v>
      </c>
      <c r="DI58" s="79">
        <v>0</v>
      </c>
      <c r="DJ58" s="79">
        <v>0</v>
      </c>
      <c r="DK58" s="79">
        <v>0</v>
      </c>
      <c r="DL58" s="79">
        <v>0</v>
      </c>
      <c r="DM58" s="79">
        <v>0</v>
      </c>
      <c r="DN58" s="79">
        <v>0</v>
      </c>
      <c r="DO58" s="79">
        <v>0</v>
      </c>
      <c r="DP58" s="79">
        <v>0</v>
      </c>
      <c r="DQ58" s="66"/>
      <c r="DR58" s="76"/>
      <c r="DS58" s="78" t="str">
        <f t="shared" si="8"/>
        <v>USD - Cartera empresas Variable</v>
      </c>
      <c r="DT58" s="79">
        <v>0</v>
      </c>
      <c r="DU58" s="79">
        <v>0</v>
      </c>
      <c r="DV58" s="79">
        <v>0</v>
      </c>
      <c r="DW58" s="79">
        <v>0</v>
      </c>
      <c r="DX58" s="79">
        <v>0</v>
      </c>
      <c r="DY58" s="79">
        <v>0</v>
      </c>
      <c r="DZ58" s="79">
        <v>0</v>
      </c>
      <c r="EA58" s="79">
        <v>0</v>
      </c>
      <c r="EB58" s="79">
        <v>0</v>
      </c>
      <c r="EC58" s="79">
        <v>0</v>
      </c>
      <c r="ED58" s="79">
        <v>0</v>
      </c>
      <c r="EE58" s="79">
        <v>0</v>
      </c>
      <c r="EF58" s="66"/>
      <c r="EG58" s="76"/>
      <c r="EH58" s="78" t="str">
        <f t="shared" si="9"/>
        <v>USD - Cartera empresas Variable</v>
      </c>
      <c r="EI58" s="79">
        <v>0</v>
      </c>
      <c r="EJ58" s="79">
        <v>0</v>
      </c>
      <c r="EK58" s="79">
        <v>0</v>
      </c>
      <c r="EL58" s="79">
        <v>0</v>
      </c>
      <c r="EM58" s="79">
        <v>0</v>
      </c>
      <c r="EN58" s="79">
        <v>0</v>
      </c>
      <c r="EO58" s="79">
        <v>0</v>
      </c>
      <c r="EP58" s="79">
        <v>0</v>
      </c>
      <c r="EQ58" s="79">
        <v>0</v>
      </c>
      <c r="ER58" s="79">
        <v>0</v>
      </c>
      <c r="ES58" s="79">
        <v>0</v>
      </c>
      <c r="ET58" s="79">
        <v>0</v>
      </c>
      <c r="EU58" s="66"/>
      <c r="EV58" s="66"/>
      <c r="EW58" s="66"/>
      <c r="EX58" s="66"/>
      <c r="EY58" s="66"/>
      <c r="EZ58" s="66"/>
      <c r="FA58" s="66"/>
      <c r="FB58" s="66"/>
      <c r="FC58" s="66"/>
      <c r="FD58" s="66"/>
      <c r="FE58" s="66"/>
      <c r="FF58" s="66"/>
      <c r="FG58" s="66"/>
      <c r="FH58" s="66"/>
      <c r="FI58" s="66"/>
      <c r="FJ58" s="76"/>
      <c r="FK58" s="78" t="str">
        <f t="shared" si="10"/>
        <v>USD - Cartera empresas Variable</v>
      </c>
      <c r="FL58" s="79">
        <v>0</v>
      </c>
      <c r="FM58" s="79">
        <v>0</v>
      </c>
      <c r="FN58" s="79">
        <v>0</v>
      </c>
      <c r="FO58" s="79">
        <v>0</v>
      </c>
      <c r="FP58" s="79">
        <v>0</v>
      </c>
      <c r="FQ58" s="79">
        <v>0</v>
      </c>
      <c r="FR58" s="79">
        <v>0</v>
      </c>
      <c r="FS58" s="79">
        <v>0</v>
      </c>
      <c r="FT58" s="79">
        <v>0</v>
      </c>
      <c r="FU58" s="79">
        <v>0</v>
      </c>
      <c r="FV58" s="79">
        <v>0</v>
      </c>
      <c r="FW58" s="79">
        <v>0</v>
      </c>
      <c r="FX58" s="66"/>
      <c r="FY58" s="76"/>
      <c r="FZ58" s="78" t="str">
        <f t="shared" si="11"/>
        <v>USD - Cartera empresas Variable</v>
      </c>
      <c r="GA58" s="79" t="s">
        <v>338</v>
      </c>
      <c r="GB58" s="79" t="s">
        <v>338</v>
      </c>
      <c r="GC58" s="79" t="s">
        <v>338</v>
      </c>
      <c r="GD58" s="79" t="s">
        <v>338</v>
      </c>
      <c r="GE58" s="79" t="s">
        <v>338</v>
      </c>
      <c r="GF58" s="79" t="s">
        <v>338</v>
      </c>
      <c r="GG58" s="79" t="s">
        <v>338</v>
      </c>
      <c r="GH58" s="79" t="s">
        <v>338</v>
      </c>
      <c r="GI58" s="79" t="s">
        <v>338</v>
      </c>
      <c r="GJ58" s="79" t="s">
        <v>338</v>
      </c>
      <c r="GK58" s="79" t="s">
        <v>338</v>
      </c>
      <c r="GL58" s="79" t="s">
        <v>338</v>
      </c>
    </row>
    <row r="59" spans="1:194" ht="14.25" customHeight="1" x14ac:dyDescent="0.35">
      <c r="A59" s="65"/>
      <c r="B59" s="75"/>
      <c r="C59" s="76" t="s">
        <v>398</v>
      </c>
      <c r="D59" s="77">
        <v>0</v>
      </c>
      <c r="E59" s="77">
        <v>0</v>
      </c>
      <c r="F59" s="77">
        <v>0</v>
      </c>
      <c r="G59" s="77">
        <v>0</v>
      </c>
      <c r="H59" s="77">
        <v>0</v>
      </c>
      <c r="I59" s="77">
        <v>0</v>
      </c>
      <c r="J59" s="77">
        <v>0</v>
      </c>
      <c r="K59" s="77">
        <v>0</v>
      </c>
      <c r="L59" s="77">
        <v>0</v>
      </c>
      <c r="M59" s="77">
        <v>0</v>
      </c>
      <c r="N59" s="77">
        <v>0</v>
      </c>
      <c r="O59" s="77">
        <v>0</v>
      </c>
      <c r="P59" s="66"/>
      <c r="Q59" s="66"/>
      <c r="R59" s="78" t="str">
        <f t="shared" si="1"/>
        <v>USD - Resto empresas Fijo</v>
      </c>
      <c r="S59" s="79">
        <v>0</v>
      </c>
      <c r="T59" s="79">
        <v>0</v>
      </c>
      <c r="U59" s="79">
        <v>0</v>
      </c>
      <c r="V59" s="79">
        <v>0</v>
      </c>
      <c r="W59" s="79">
        <v>0</v>
      </c>
      <c r="X59" s="79">
        <v>0</v>
      </c>
      <c r="Y59" s="79">
        <v>0</v>
      </c>
      <c r="Z59" s="79">
        <v>0</v>
      </c>
      <c r="AA59" s="79">
        <v>0</v>
      </c>
      <c r="AB59" s="79">
        <v>0</v>
      </c>
      <c r="AC59" s="79">
        <v>0</v>
      </c>
      <c r="AD59" s="79">
        <v>0</v>
      </c>
      <c r="AE59" s="66"/>
      <c r="AF59" s="75"/>
      <c r="AG59" s="78" t="str">
        <f t="shared" si="2"/>
        <v>USD - Resto empresas Fijo</v>
      </c>
      <c r="AH59" s="80">
        <v>0</v>
      </c>
      <c r="AI59" s="80">
        <v>0</v>
      </c>
      <c r="AJ59" s="80">
        <v>0</v>
      </c>
      <c r="AK59" s="80">
        <v>0</v>
      </c>
      <c r="AL59" s="80">
        <v>0</v>
      </c>
      <c r="AM59" s="80">
        <v>0</v>
      </c>
      <c r="AN59" s="80">
        <v>0</v>
      </c>
      <c r="AO59" s="80">
        <v>0</v>
      </c>
      <c r="AP59" s="80">
        <v>0</v>
      </c>
      <c r="AQ59" s="80">
        <v>0</v>
      </c>
      <c r="AR59" s="80">
        <v>0</v>
      </c>
      <c r="AS59" s="80">
        <v>0</v>
      </c>
      <c r="AT59" s="66"/>
      <c r="AU59" s="76"/>
      <c r="AV59" s="78" t="str">
        <f t="shared" si="3"/>
        <v>USD - Resto empresas Fijo</v>
      </c>
      <c r="AW59" s="80">
        <v>0</v>
      </c>
      <c r="AX59" s="80">
        <v>0</v>
      </c>
      <c r="AY59" s="80">
        <v>0</v>
      </c>
      <c r="AZ59" s="80">
        <v>0</v>
      </c>
      <c r="BA59" s="80">
        <v>0</v>
      </c>
      <c r="BB59" s="80">
        <v>0</v>
      </c>
      <c r="BC59" s="80">
        <v>0</v>
      </c>
      <c r="BD59" s="80">
        <v>0</v>
      </c>
      <c r="BE59" s="80">
        <v>0</v>
      </c>
      <c r="BF59" s="80">
        <v>0</v>
      </c>
      <c r="BG59" s="80">
        <v>0</v>
      </c>
      <c r="BH59" s="80">
        <v>0</v>
      </c>
      <c r="BI59" s="66"/>
      <c r="BJ59" s="76"/>
      <c r="BK59" s="78" t="str">
        <f t="shared" si="4"/>
        <v>USD - Resto empresas Fijo</v>
      </c>
      <c r="BL59" s="81" t="s">
        <v>338</v>
      </c>
      <c r="BM59" s="81" t="s">
        <v>338</v>
      </c>
      <c r="BN59" s="81" t="s">
        <v>338</v>
      </c>
      <c r="BO59" s="81" t="s">
        <v>338</v>
      </c>
      <c r="BP59" s="81" t="s">
        <v>338</v>
      </c>
      <c r="BQ59" s="81" t="s">
        <v>338</v>
      </c>
      <c r="BR59" s="81" t="s">
        <v>338</v>
      </c>
      <c r="BS59" s="81" t="s">
        <v>338</v>
      </c>
      <c r="BT59" s="81" t="s">
        <v>338</v>
      </c>
      <c r="BU59" s="81" t="s">
        <v>338</v>
      </c>
      <c r="BV59" s="81" t="s">
        <v>338</v>
      </c>
      <c r="BW59" s="81" t="s">
        <v>338</v>
      </c>
      <c r="BX59" s="66"/>
      <c r="BY59" s="76"/>
      <c r="BZ59" s="78" t="str">
        <f t="shared" si="5"/>
        <v>USD - Resto empresas Fijo</v>
      </c>
      <c r="CA59" s="79">
        <v>1</v>
      </c>
      <c r="CB59" s="79">
        <v>1</v>
      </c>
      <c r="CC59" s="79">
        <v>1</v>
      </c>
      <c r="CD59" s="79">
        <v>1</v>
      </c>
      <c r="CE59" s="79">
        <v>1</v>
      </c>
      <c r="CF59" s="79">
        <v>1</v>
      </c>
      <c r="CG59" s="79">
        <v>1</v>
      </c>
      <c r="CH59" s="79">
        <v>1</v>
      </c>
      <c r="CI59" s="79">
        <v>1</v>
      </c>
      <c r="CJ59" s="79">
        <v>1</v>
      </c>
      <c r="CK59" s="79">
        <v>1</v>
      </c>
      <c r="CL59" s="79">
        <v>1</v>
      </c>
      <c r="CM59" s="66"/>
      <c r="CN59" s="76"/>
      <c r="CO59" s="78" t="str">
        <f t="shared" si="6"/>
        <v>USD - Resto empresas Fijo</v>
      </c>
      <c r="CP59" s="79">
        <v>0</v>
      </c>
      <c r="CQ59" s="79">
        <v>0</v>
      </c>
      <c r="CR59" s="79">
        <v>0</v>
      </c>
      <c r="CS59" s="79">
        <v>0</v>
      </c>
      <c r="CT59" s="79">
        <v>0</v>
      </c>
      <c r="CU59" s="79">
        <v>0</v>
      </c>
      <c r="CV59" s="79">
        <v>0</v>
      </c>
      <c r="CW59" s="79">
        <v>0</v>
      </c>
      <c r="CX59" s="79">
        <v>0</v>
      </c>
      <c r="CY59" s="79">
        <v>0</v>
      </c>
      <c r="CZ59" s="79">
        <v>0</v>
      </c>
      <c r="DA59" s="79">
        <v>0</v>
      </c>
      <c r="DB59" s="66"/>
      <c r="DC59" s="66"/>
      <c r="DD59" s="78" t="str">
        <f t="shared" si="7"/>
        <v>USD - Resto empresas Fijo</v>
      </c>
      <c r="DE59" s="79">
        <v>0</v>
      </c>
      <c r="DF59" s="79">
        <v>0</v>
      </c>
      <c r="DG59" s="79">
        <v>0</v>
      </c>
      <c r="DH59" s="79">
        <v>0</v>
      </c>
      <c r="DI59" s="79">
        <v>0</v>
      </c>
      <c r="DJ59" s="79">
        <v>0</v>
      </c>
      <c r="DK59" s="79">
        <v>0</v>
      </c>
      <c r="DL59" s="79">
        <v>0</v>
      </c>
      <c r="DM59" s="79">
        <v>0</v>
      </c>
      <c r="DN59" s="79">
        <v>0</v>
      </c>
      <c r="DO59" s="79">
        <v>0</v>
      </c>
      <c r="DP59" s="79">
        <v>0</v>
      </c>
      <c r="DQ59" s="66"/>
      <c r="DR59" s="76"/>
      <c r="DS59" s="78" t="str">
        <f t="shared" si="8"/>
        <v>USD - Resto empresas Fijo</v>
      </c>
      <c r="DT59" s="79">
        <v>0</v>
      </c>
      <c r="DU59" s="79">
        <v>0</v>
      </c>
      <c r="DV59" s="79">
        <v>0</v>
      </c>
      <c r="DW59" s="79">
        <v>0</v>
      </c>
      <c r="DX59" s="79">
        <v>0</v>
      </c>
      <c r="DY59" s="79">
        <v>0</v>
      </c>
      <c r="DZ59" s="79">
        <v>0</v>
      </c>
      <c r="EA59" s="79">
        <v>0</v>
      </c>
      <c r="EB59" s="79">
        <v>0</v>
      </c>
      <c r="EC59" s="79">
        <v>0</v>
      </c>
      <c r="ED59" s="79">
        <v>0</v>
      </c>
      <c r="EE59" s="79">
        <v>0</v>
      </c>
      <c r="EF59" s="66"/>
      <c r="EG59" s="76"/>
      <c r="EH59" s="78" t="str">
        <f t="shared" si="9"/>
        <v>USD - Resto empresas Fijo</v>
      </c>
      <c r="EI59" s="79">
        <v>0</v>
      </c>
      <c r="EJ59" s="79">
        <v>0</v>
      </c>
      <c r="EK59" s="79">
        <v>0</v>
      </c>
      <c r="EL59" s="79">
        <v>0</v>
      </c>
      <c r="EM59" s="79">
        <v>0</v>
      </c>
      <c r="EN59" s="79">
        <v>0</v>
      </c>
      <c r="EO59" s="79">
        <v>0</v>
      </c>
      <c r="EP59" s="79">
        <v>0</v>
      </c>
      <c r="EQ59" s="79">
        <v>0</v>
      </c>
      <c r="ER59" s="79">
        <v>0</v>
      </c>
      <c r="ES59" s="79">
        <v>0</v>
      </c>
      <c r="ET59" s="79">
        <v>0</v>
      </c>
      <c r="EU59" s="66"/>
      <c r="EV59" s="66"/>
      <c r="EW59" s="66"/>
      <c r="EX59" s="66"/>
      <c r="EY59" s="66"/>
      <c r="EZ59" s="66"/>
      <c r="FA59" s="66"/>
      <c r="FB59" s="66"/>
      <c r="FC59" s="66"/>
      <c r="FD59" s="66"/>
      <c r="FE59" s="66"/>
      <c r="FF59" s="66"/>
      <c r="FG59" s="66"/>
      <c r="FH59" s="66"/>
      <c r="FI59" s="66"/>
      <c r="FJ59" s="76"/>
      <c r="FK59" s="78" t="str">
        <f t="shared" si="10"/>
        <v>USD - Resto empresas Fijo</v>
      </c>
      <c r="FL59" s="79">
        <v>0</v>
      </c>
      <c r="FM59" s="79">
        <v>0</v>
      </c>
      <c r="FN59" s="79">
        <v>0</v>
      </c>
      <c r="FO59" s="79">
        <v>0</v>
      </c>
      <c r="FP59" s="79">
        <v>0</v>
      </c>
      <c r="FQ59" s="79">
        <v>0</v>
      </c>
      <c r="FR59" s="79">
        <v>0</v>
      </c>
      <c r="FS59" s="79">
        <v>0</v>
      </c>
      <c r="FT59" s="79">
        <v>0</v>
      </c>
      <c r="FU59" s="79">
        <v>0</v>
      </c>
      <c r="FV59" s="79">
        <v>0</v>
      </c>
      <c r="FW59" s="79">
        <v>0</v>
      </c>
      <c r="FX59" s="66"/>
      <c r="FY59" s="76"/>
      <c r="FZ59" s="78" t="str">
        <f t="shared" si="11"/>
        <v>USD - Resto empresas Fijo</v>
      </c>
      <c r="GA59" s="79" t="s">
        <v>338</v>
      </c>
      <c r="GB59" s="79" t="s">
        <v>338</v>
      </c>
      <c r="GC59" s="79" t="s">
        <v>338</v>
      </c>
      <c r="GD59" s="79" t="s">
        <v>338</v>
      </c>
      <c r="GE59" s="79" t="s">
        <v>338</v>
      </c>
      <c r="GF59" s="79" t="s">
        <v>338</v>
      </c>
      <c r="GG59" s="79" t="s">
        <v>338</v>
      </c>
      <c r="GH59" s="79" t="s">
        <v>338</v>
      </c>
      <c r="GI59" s="79" t="s">
        <v>338</v>
      </c>
      <c r="GJ59" s="79" t="s">
        <v>338</v>
      </c>
      <c r="GK59" s="79" t="s">
        <v>338</v>
      </c>
      <c r="GL59" s="79" t="s">
        <v>338</v>
      </c>
    </row>
    <row r="60" spans="1:194" ht="14.25" customHeight="1" x14ac:dyDescent="0.35">
      <c r="A60" s="65"/>
      <c r="B60" s="75"/>
      <c r="C60" s="76" t="s">
        <v>399</v>
      </c>
      <c r="D60" s="77">
        <v>0</v>
      </c>
      <c r="E60" s="77">
        <v>0</v>
      </c>
      <c r="F60" s="77">
        <v>0</v>
      </c>
      <c r="G60" s="77">
        <v>0</v>
      </c>
      <c r="H60" s="77">
        <v>0</v>
      </c>
      <c r="I60" s="77">
        <v>0</v>
      </c>
      <c r="J60" s="77">
        <v>0</v>
      </c>
      <c r="K60" s="77">
        <v>0</v>
      </c>
      <c r="L60" s="77">
        <v>0</v>
      </c>
      <c r="M60" s="77">
        <v>0</v>
      </c>
      <c r="N60" s="77">
        <v>0</v>
      </c>
      <c r="O60" s="77">
        <v>0</v>
      </c>
      <c r="P60" s="66"/>
      <c r="Q60" s="66"/>
      <c r="R60" s="78" t="str">
        <f t="shared" si="1"/>
        <v>USD - Resto empresas Variable</v>
      </c>
      <c r="S60" s="79">
        <v>0</v>
      </c>
      <c r="T60" s="79">
        <v>0</v>
      </c>
      <c r="U60" s="79">
        <v>0</v>
      </c>
      <c r="V60" s="79">
        <v>0</v>
      </c>
      <c r="W60" s="79">
        <v>0</v>
      </c>
      <c r="X60" s="79">
        <v>0</v>
      </c>
      <c r="Y60" s="79">
        <v>0</v>
      </c>
      <c r="Z60" s="79">
        <v>0</v>
      </c>
      <c r="AA60" s="79">
        <v>0</v>
      </c>
      <c r="AB60" s="79">
        <v>0</v>
      </c>
      <c r="AC60" s="79">
        <v>0</v>
      </c>
      <c r="AD60" s="79">
        <v>0</v>
      </c>
      <c r="AE60" s="66"/>
      <c r="AF60" s="75"/>
      <c r="AG60" s="78" t="str">
        <f t="shared" si="2"/>
        <v>USD - Resto empresas Variable</v>
      </c>
      <c r="AH60" s="80">
        <v>0</v>
      </c>
      <c r="AI60" s="80">
        <v>0</v>
      </c>
      <c r="AJ60" s="80">
        <v>0</v>
      </c>
      <c r="AK60" s="80">
        <v>0</v>
      </c>
      <c r="AL60" s="80">
        <v>0</v>
      </c>
      <c r="AM60" s="80">
        <v>0</v>
      </c>
      <c r="AN60" s="80">
        <v>0</v>
      </c>
      <c r="AO60" s="80">
        <v>0</v>
      </c>
      <c r="AP60" s="80">
        <v>0</v>
      </c>
      <c r="AQ60" s="80">
        <v>0</v>
      </c>
      <c r="AR60" s="80">
        <v>0</v>
      </c>
      <c r="AS60" s="80">
        <v>0</v>
      </c>
      <c r="AT60" s="66"/>
      <c r="AU60" s="76"/>
      <c r="AV60" s="78" t="str">
        <f t="shared" si="3"/>
        <v>USD - Resto empresas Variable</v>
      </c>
      <c r="AW60" s="80">
        <v>0</v>
      </c>
      <c r="AX60" s="80">
        <v>0</v>
      </c>
      <c r="AY60" s="80">
        <v>0</v>
      </c>
      <c r="AZ60" s="80">
        <v>0</v>
      </c>
      <c r="BA60" s="80">
        <v>0</v>
      </c>
      <c r="BB60" s="80">
        <v>0</v>
      </c>
      <c r="BC60" s="80">
        <v>0</v>
      </c>
      <c r="BD60" s="80">
        <v>0</v>
      </c>
      <c r="BE60" s="80">
        <v>0</v>
      </c>
      <c r="BF60" s="80">
        <v>0</v>
      </c>
      <c r="BG60" s="80">
        <v>0</v>
      </c>
      <c r="BH60" s="80">
        <v>0</v>
      </c>
      <c r="BI60" s="66"/>
      <c r="BJ60" s="76"/>
      <c r="BK60" s="78" t="str">
        <f t="shared" si="4"/>
        <v>USD - Resto empresas Variable</v>
      </c>
      <c r="BL60" s="81" t="s">
        <v>338</v>
      </c>
      <c r="BM60" s="81" t="s">
        <v>338</v>
      </c>
      <c r="BN60" s="81" t="s">
        <v>338</v>
      </c>
      <c r="BO60" s="81" t="s">
        <v>338</v>
      </c>
      <c r="BP60" s="81" t="s">
        <v>338</v>
      </c>
      <c r="BQ60" s="81" t="s">
        <v>338</v>
      </c>
      <c r="BR60" s="81" t="s">
        <v>338</v>
      </c>
      <c r="BS60" s="81" t="s">
        <v>338</v>
      </c>
      <c r="BT60" s="81" t="s">
        <v>338</v>
      </c>
      <c r="BU60" s="81" t="s">
        <v>338</v>
      </c>
      <c r="BV60" s="81" t="s">
        <v>338</v>
      </c>
      <c r="BW60" s="81" t="s">
        <v>338</v>
      </c>
      <c r="BX60" s="66"/>
      <c r="BY60" s="76"/>
      <c r="BZ60" s="78" t="str">
        <f t="shared" si="5"/>
        <v>USD - Resto empresas Variable</v>
      </c>
      <c r="CA60" s="79">
        <v>1</v>
      </c>
      <c r="CB60" s="79">
        <v>1</v>
      </c>
      <c r="CC60" s="79">
        <v>1</v>
      </c>
      <c r="CD60" s="79">
        <v>1</v>
      </c>
      <c r="CE60" s="79">
        <v>1</v>
      </c>
      <c r="CF60" s="79">
        <v>1</v>
      </c>
      <c r="CG60" s="79">
        <v>1</v>
      </c>
      <c r="CH60" s="79">
        <v>1</v>
      </c>
      <c r="CI60" s="79">
        <v>1</v>
      </c>
      <c r="CJ60" s="79">
        <v>1</v>
      </c>
      <c r="CK60" s="79">
        <v>1</v>
      </c>
      <c r="CL60" s="79">
        <v>1</v>
      </c>
      <c r="CM60" s="66"/>
      <c r="CN60" s="76"/>
      <c r="CO60" s="78" t="str">
        <f t="shared" si="6"/>
        <v>USD - Resto empresas Variable</v>
      </c>
      <c r="CP60" s="79">
        <v>0</v>
      </c>
      <c r="CQ60" s="79">
        <v>0</v>
      </c>
      <c r="CR60" s="79">
        <v>0</v>
      </c>
      <c r="CS60" s="79">
        <v>0</v>
      </c>
      <c r="CT60" s="79">
        <v>0</v>
      </c>
      <c r="CU60" s="79">
        <v>0</v>
      </c>
      <c r="CV60" s="79">
        <v>0</v>
      </c>
      <c r="CW60" s="79">
        <v>0</v>
      </c>
      <c r="CX60" s="79">
        <v>0</v>
      </c>
      <c r="CY60" s="79">
        <v>0</v>
      </c>
      <c r="CZ60" s="79">
        <v>0</v>
      </c>
      <c r="DA60" s="79">
        <v>0</v>
      </c>
      <c r="DB60" s="66"/>
      <c r="DC60" s="66"/>
      <c r="DD60" s="78" t="str">
        <f t="shared" si="7"/>
        <v>USD - Resto empresas Variable</v>
      </c>
      <c r="DE60" s="79">
        <v>0</v>
      </c>
      <c r="DF60" s="79">
        <v>0</v>
      </c>
      <c r="DG60" s="79">
        <v>0</v>
      </c>
      <c r="DH60" s="79">
        <v>0</v>
      </c>
      <c r="DI60" s="79">
        <v>0</v>
      </c>
      <c r="DJ60" s="79">
        <v>0</v>
      </c>
      <c r="DK60" s="79">
        <v>0</v>
      </c>
      <c r="DL60" s="79">
        <v>0</v>
      </c>
      <c r="DM60" s="79">
        <v>0</v>
      </c>
      <c r="DN60" s="79">
        <v>0</v>
      </c>
      <c r="DO60" s="79">
        <v>0</v>
      </c>
      <c r="DP60" s="79">
        <v>0</v>
      </c>
      <c r="DQ60" s="66"/>
      <c r="DR60" s="76"/>
      <c r="DS60" s="78" t="str">
        <f t="shared" si="8"/>
        <v>USD - Resto empresas Variable</v>
      </c>
      <c r="DT60" s="79">
        <v>0</v>
      </c>
      <c r="DU60" s="79">
        <v>0</v>
      </c>
      <c r="DV60" s="79">
        <v>0</v>
      </c>
      <c r="DW60" s="79">
        <v>0</v>
      </c>
      <c r="DX60" s="79">
        <v>0</v>
      </c>
      <c r="DY60" s="79">
        <v>0</v>
      </c>
      <c r="DZ60" s="79">
        <v>0</v>
      </c>
      <c r="EA60" s="79">
        <v>0</v>
      </c>
      <c r="EB60" s="79">
        <v>0</v>
      </c>
      <c r="EC60" s="79">
        <v>0</v>
      </c>
      <c r="ED60" s="79">
        <v>0</v>
      </c>
      <c r="EE60" s="79">
        <v>0</v>
      </c>
      <c r="EF60" s="66"/>
      <c r="EG60" s="76"/>
      <c r="EH60" s="78" t="str">
        <f t="shared" si="9"/>
        <v>USD - Resto empresas Variable</v>
      </c>
      <c r="EI60" s="79">
        <v>0</v>
      </c>
      <c r="EJ60" s="79">
        <v>0</v>
      </c>
      <c r="EK60" s="79">
        <v>0</v>
      </c>
      <c r="EL60" s="79">
        <v>0</v>
      </c>
      <c r="EM60" s="79">
        <v>0</v>
      </c>
      <c r="EN60" s="79">
        <v>0</v>
      </c>
      <c r="EO60" s="79">
        <v>0</v>
      </c>
      <c r="EP60" s="79">
        <v>0</v>
      </c>
      <c r="EQ60" s="79">
        <v>0</v>
      </c>
      <c r="ER60" s="79">
        <v>0</v>
      </c>
      <c r="ES60" s="79">
        <v>0</v>
      </c>
      <c r="ET60" s="79">
        <v>0</v>
      </c>
      <c r="EU60" s="66"/>
      <c r="EV60" s="66"/>
      <c r="EW60" s="66"/>
      <c r="EX60" s="66"/>
      <c r="EY60" s="66"/>
      <c r="EZ60" s="66"/>
      <c r="FA60" s="66"/>
      <c r="FB60" s="66"/>
      <c r="FC60" s="66"/>
      <c r="FD60" s="66"/>
      <c r="FE60" s="66"/>
      <c r="FF60" s="66"/>
      <c r="FG60" s="66"/>
      <c r="FH60" s="66"/>
      <c r="FI60" s="66"/>
      <c r="FJ60" s="76"/>
      <c r="FK60" s="78" t="str">
        <f t="shared" si="10"/>
        <v>USD - Resto empresas Variable</v>
      </c>
      <c r="FL60" s="79">
        <v>0</v>
      </c>
      <c r="FM60" s="79">
        <v>0</v>
      </c>
      <c r="FN60" s="79">
        <v>0</v>
      </c>
      <c r="FO60" s="79">
        <v>0</v>
      </c>
      <c r="FP60" s="79">
        <v>0</v>
      </c>
      <c r="FQ60" s="79">
        <v>0</v>
      </c>
      <c r="FR60" s="79">
        <v>0</v>
      </c>
      <c r="FS60" s="79">
        <v>0</v>
      </c>
      <c r="FT60" s="79">
        <v>0</v>
      </c>
      <c r="FU60" s="79">
        <v>0</v>
      </c>
      <c r="FV60" s="79">
        <v>0</v>
      </c>
      <c r="FW60" s="79">
        <v>0</v>
      </c>
      <c r="FX60" s="66"/>
      <c r="FY60" s="76"/>
      <c r="FZ60" s="78" t="str">
        <f t="shared" si="11"/>
        <v>USD - Resto empresas Variable</v>
      </c>
      <c r="GA60" s="79" t="s">
        <v>338</v>
      </c>
      <c r="GB60" s="79" t="s">
        <v>338</v>
      </c>
      <c r="GC60" s="79" t="s">
        <v>338</v>
      </c>
      <c r="GD60" s="79" t="s">
        <v>338</v>
      </c>
      <c r="GE60" s="79" t="s">
        <v>338</v>
      </c>
      <c r="GF60" s="79" t="s">
        <v>338</v>
      </c>
      <c r="GG60" s="79" t="s">
        <v>338</v>
      </c>
      <c r="GH60" s="79" t="s">
        <v>338</v>
      </c>
      <c r="GI60" s="79" t="s">
        <v>338</v>
      </c>
      <c r="GJ60" s="79" t="s">
        <v>338</v>
      </c>
      <c r="GK60" s="79" t="s">
        <v>338</v>
      </c>
      <c r="GL60" s="79" t="s">
        <v>338</v>
      </c>
    </row>
    <row r="61" spans="1:194" ht="14.25" customHeight="1" x14ac:dyDescent="0.35">
      <c r="A61" s="65"/>
      <c r="B61" s="75"/>
      <c r="C61" s="76" t="s">
        <v>400</v>
      </c>
      <c r="D61" s="77">
        <v>0</v>
      </c>
      <c r="E61" s="77">
        <v>0</v>
      </c>
      <c r="F61" s="77">
        <v>0</v>
      </c>
      <c r="G61" s="77">
        <v>0</v>
      </c>
      <c r="H61" s="77">
        <v>0</v>
      </c>
      <c r="I61" s="77">
        <v>0</v>
      </c>
      <c r="J61" s="77">
        <v>0</v>
      </c>
      <c r="K61" s="77">
        <v>0</v>
      </c>
      <c r="L61" s="77">
        <v>0</v>
      </c>
      <c r="M61" s="77">
        <v>0</v>
      </c>
      <c r="N61" s="77">
        <v>0</v>
      </c>
      <c r="O61" s="77">
        <v>0</v>
      </c>
      <c r="P61" s="66"/>
      <c r="Q61" s="66"/>
      <c r="R61" s="78" t="str">
        <f t="shared" si="1"/>
        <v>USD - Inversion Leasing</v>
      </c>
      <c r="S61" s="79">
        <v>0</v>
      </c>
      <c r="T61" s="79">
        <v>0</v>
      </c>
      <c r="U61" s="79">
        <v>0</v>
      </c>
      <c r="V61" s="79">
        <v>0</v>
      </c>
      <c r="W61" s="79">
        <v>0</v>
      </c>
      <c r="X61" s="79">
        <v>0</v>
      </c>
      <c r="Y61" s="79">
        <v>0</v>
      </c>
      <c r="Z61" s="79">
        <v>0</v>
      </c>
      <c r="AA61" s="79">
        <v>0</v>
      </c>
      <c r="AB61" s="79">
        <v>0</v>
      </c>
      <c r="AC61" s="79">
        <v>0</v>
      </c>
      <c r="AD61" s="79">
        <v>0</v>
      </c>
      <c r="AE61" s="66"/>
      <c r="AF61" s="75"/>
      <c r="AG61" s="78" t="str">
        <f t="shared" si="2"/>
        <v>USD - Inversion Leasing</v>
      </c>
      <c r="AH61" s="80">
        <v>0</v>
      </c>
      <c r="AI61" s="80">
        <v>0</v>
      </c>
      <c r="AJ61" s="80">
        <v>0</v>
      </c>
      <c r="AK61" s="80">
        <v>0</v>
      </c>
      <c r="AL61" s="80">
        <v>0</v>
      </c>
      <c r="AM61" s="80">
        <v>0</v>
      </c>
      <c r="AN61" s="80">
        <v>0</v>
      </c>
      <c r="AO61" s="80">
        <v>0</v>
      </c>
      <c r="AP61" s="80">
        <v>0</v>
      </c>
      <c r="AQ61" s="80">
        <v>0</v>
      </c>
      <c r="AR61" s="80">
        <v>0</v>
      </c>
      <c r="AS61" s="80">
        <v>0</v>
      </c>
      <c r="AT61" s="66"/>
      <c r="AU61" s="76"/>
      <c r="AV61" s="78" t="str">
        <f t="shared" si="3"/>
        <v>USD - Inversion Leasing</v>
      </c>
      <c r="AW61" s="80">
        <v>0</v>
      </c>
      <c r="AX61" s="80">
        <v>0</v>
      </c>
      <c r="AY61" s="80">
        <v>0</v>
      </c>
      <c r="AZ61" s="80">
        <v>0</v>
      </c>
      <c r="BA61" s="80">
        <v>0</v>
      </c>
      <c r="BB61" s="80">
        <v>0</v>
      </c>
      <c r="BC61" s="80">
        <v>0</v>
      </c>
      <c r="BD61" s="80">
        <v>0</v>
      </c>
      <c r="BE61" s="80">
        <v>0</v>
      </c>
      <c r="BF61" s="80">
        <v>0</v>
      </c>
      <c r="BG61" s="80">
        <v>0</v>
      </c>
      <c r="BH61" s="80">
        <v>0</v>
      </c>
      <c r="BI61" s="66"/>
      <c r="BJ61" s="76"/>
      <c r="BK61" s="78" t="str">
        <f t="shared" si="4"/>
        <v>USD - Inversion Leasing</v>
      </c>
      <c r="BL61" s="81" t="s">
        <v>338</v>
      </c>
      <c r="BM61" s="81" t="s">
        <v>338</v>
      </c>
      <c r="BN61" s="81" t="s">
        <v>338</v>
      </c>
      <c r="BO61" s="81" t="s">
        <v>338</v>
      </c>
      <c r="BP61" s="81" t="s">
        <v>338</v>
      </c>
      <c r="BQ61" s="81" t="s">
        <v>338</v>
      </c>
      <c r="BR61" s="81" t="s">
        <v>338</v>
      </c>
      <c r="BS61" s="81" t="s">
        <v>338</v>
      </c>
      <c r="BT61" s="81" t="s">
        <v>338</v>
      </c>
      <c r="BU61" s="81" t="s">
        <v>338</v>
      </c>
      <c r="BV61" s="81" t="s">
        <v>338</v>
      </c>
      <c r="BW61" s="81" t="s">
        <v>338</v>
      </c>
      <c r="BX61" s="66"/>
      <c r="BY61" s="76"/>
      <c r="BZ61" s="78" t="str">
        <f t="shared" si="5"/>
        <v>USD - Inversion Leasing</v>
      </c>
      <c r="CA61" s="79">
        <v>1</v>
      </c>
      <c r="CB61" s="79">
        <v>1</v>
      </c>
      <c r="CC61" s="79">
        <v>1</v>
      </c>
      <c r="CD61" s="79">
        <v>1</v>
      </c>
      <c r="CE61" s="79">
        <v>1</v>
      </c>
      <c r="CF61" s="79">
        <v>1</v>
      </c>
      <c r="CG61" s="79">
        <v>1</v>
      </c>
      <c r="CH61" s="79">
        <v>1</v>
      </c>
      <c r="CI61" s="79">
        <v>1</v>
      </c>
      <c r="CJ61" s="79">
        <v>1</v>
      </c>
      <c r="CK61" s="79">
        <v>1</v>
      </c>
      <c r="CL61" s="79">
        <v>1</v>
      </c>
      <c r="CM61" s="66"/>
      <c r="CN61" s="76"/>
      <c r="CO61" s="78" t="str">
        <f t="shared" si="6"/>
        <v>USD - Inversion Leasing</v>
      </c>
      <c r="CP61" s="79">
        <v>0</v>
      </c>
      <c r="CQ61" s="79">
        <v>0</v>
      </c>
      <c r="CR61" s="79">
        <v>0</v>
      </c>
      <c r="CS61" s="79">
        <v>0</v>
      </c>
      <c r="CT61" s="79">
        <v>0</v>
      </c>
      <c r="CU61" s="79">
        <v>0</v>
      </c>
      <c r="CV61" s="79">
        <v>0</v>
      </c>
      <c r="CW61" s="79">
        <v>0</v>
      </c>
      <c r="CX61" s="79">
        <v>0</v>
      </c>
      <c r="CY61" s="79">
        <v>0</v>
      </c>
      <c r="CZ61" s="79">
        <v>0</v>
      </c>
      <c r="DA61" s="79">
        <v>0</v>
      </c>
      <c r="DB61" s="66"/>
      <c r="DC61" s="66"/>
      <c r="DD61" s="78" t="str">
        <f t="shared" si="7"/>
        <v>USD - Inversion Leasing</v>
      </c>
      <c r="DE61" s="79">
        <v>0</v>
      </c>
      <c r="DF61" s="79">
        <v>0</v>
      </c>
      <c r="DG61" s="79">
        <v>0</v>
      </c>
      <c r="DH61" s="79">
        <v>0</v>
      </c>
      <c r="DI61" s="79">
        <v>0</v>
      </c>
      <c r="DJ61" s="79">
        <v>0</v>
      </c>
      <c r="DK61" s="79">
        <v>0</v>
      </c>
      <c r="DL61" s="79">
        <v>0</v>
      </c>
      <c r="DM61" s="79">
        <v>0</v>
      </c>
      <c r="DN61" s="79">
        <v>0</v>
      </c>
      <c r="DO61" s="79">
        <v>0</v>
      </c>
      <c r="DP61" s="79">
        <v>0</v>
      </c>
      <c r="DQ61" s="66"/>
      <c r="DR61" s="76"/>
      <c r="DS61" s="78" t="str">
        <f t="shared" si="8"/>
        <v>USD - Inversion Leasing</v>
      </c>
      <c r="DT61" s="79">
        <v>0</v>
      </c>
      <c r="DU61" s="79">
        <v>0</v>
      </c>
      <c r="DV61" s="79">
        <v>0</v>
      </c>
      <c r="DW61" s="79">
        <v>0</v>
      </c>
      <c r="DX61" s="79">
        <v>0</v>
      </c>
      <c r="DY61" s="79">
        <v>0</v>
      </c>
      <c r="DZ61" s="79">
        <v>0</v>
      </c>
      <c r="EA61" s="79">
        <v>0</v>
      </c>
      <c r="EB61" s="79">
        <v>0</v>
      </c>
      <c r="EC61" s="79">
        <v>0</v>
      </c>
      <c r="ED61" s="79">
        <v>0</v>
      </c>
      <c r="EE61" s="79">
        <v>0</v>
      </c>
      <c r="EF61" s="66"/>
      <c r="EG61" s="76"/>
      <c r="EH61" s="78" t="str">
        <f t="shared" si="9"/>
        <v>USD - Inversion Leasing</v>
      </c>
      <c r="EI61" s="79">
        <v>0</v>
      </c>
      <c r="EJ61" s="79">
        <v>0</v>
      </c>
      <c r="EK61" s="79">
        <v>0</v>
      </c>
      <c r="EL61" s="79">
        <v>0</v>
      </c>
      <c r="EM61" s="79">
        <v>0</v>
      </c>
      <c r="EN61" s="79">
        <v>0</v>
      </c>
      <c r="EO61" s="79">
        <v>0</v>
      </c>
      <c r="EP61" s="79">
        <v>0</v>
      </c>
      <c r="EQ61" s="79">
        <v>0</v>
      </c>
      <c r="ER61" s="79">
        <v>0</v>
      </c>
      <c r="ES61" s="79">
        <v>0</v>
      </c>
      <c r="ET61" s="79">
        <v>0</v>
      </c>
      <c r="EU61" s="66"/>
      <c r="EV61" s="66"/>
      <c r="EW61" s="66"/>
      <c r="EX61" s="66"/>
      <c r="EY61" s="66"/>
      <c r="EZ61" s="66"/>
      <c r="FA61" s="66"/>
      <c r="FB61" s="66"/>
      <c r="FC61" s="66"/>
      <c r="FD61" s="66"/>
      <c r="FE61" s="66"/>
      <c r="FF61" s="66"/>
      <c r="FG61" s="66"/>
      <c r="FH61" s="66"/>
      <c r="FI61" s="66"/>
      <c r="FJ61" s="76"/>
      <c r="FK61" s="78" t="str">
        <f t="shared" si="10"/>
        <v>USD - Inversion Leasing</v>
      </c>
      <c r="FL61" s="79">
        <v>0</v>
      </c>
      <c r="FM61" s="79">
        <v>0</v>
      </c>
      <c r="FN61" s="79">
        <v>0</v>
      </c>
      <c r="FO61" s="79">
        <v>0</v>
      </c>
      <c r="FP61" s="79">
        <v>0</v>
      </c>
      <c r="FQ61" s="79">
        <v>0</v>
      </c>
      <c r="FR61" s="79">
        <v>0</v>
      </c>
      <c r="FS61" s="79">
        <v>0</v>
      </c>
      <c r="FT61" s="79">
        <v>0</v>
      </c>
      <c r="FU61" s="79">
        <v>0</v>
      </c>
      <c r="FV61" s="79">
        <v>0</v>
      </c>
      <c r="FW61" s="79">
        <v>0</v>
      </c>
      <c r="FX61" s="66"/>
      <c r="FY61" s="76"/>
      <c r="FZ61" s="78" t="str">
        <f t="shared" si="11"/>
        <v>USD - Inversion Leasing</v>
      </c>
      <c r="GA61" s="79" t="s">
        <v>338</v>
      </c>
      <c r="GB61" s="79" t="s">
        <v>338</v>
      </c>
      <c r="GC61" s="79" t="s">
        <v>338</v>
      </c>
      <c r="GD61" s="79" t="s">
        <v>338</v>
      </c>
      <c r="GE61" s="79" t="s">
        <v>338</v>
      </c>
      <c r="GF61" s="79" t="s">
        <v>338</v>
      </c>
      <c r="GG61" s="79" t="s">
        <v>338</v>
      </c>
      <c r="GH61" s="79" t="s">
        <v>338</v>
      </c>
      <c r="GI61" s="79" t="s">
        <v>338</v>
      </c>
      <c r="GJ61" s="79" t="s">
        <v>338</v>
      </c>
      <c r="GK61" s="79" t="s">
        <v>338</v>
      </c>
      <c r="GL61" s="79" t="s">
        <v>338</v>
      </c>
    </row>
    <row r="62" spans="1:194" ht="14.25" customHeight="1" x14ac:dyDescent="0.35">
      <c r="A62" s="65"/>
      <c r="B62" s="75"/>
      <c r="C62" s="76" t="s">
        <v>401</v>
      </c>
      <c r="D62" s="83">
        <v>0</v>
      </c>
      <c r="E62" s="83">
        <v>0</v>
      </c>
      <c r="F62" s="83">
        <v>0</v>
      </c>
      <c r="G62" s="83">
        <v>0</v>
      </c>
      <c r="H62" s="83">
        <v>0</v>
      </c>
      <c r="I62" s="83">
        <v>0</v>
      </c>
      <c r="J62" s="83">
        <v>0</v>
      </c>
      <c r="K62" s="83">
        <v>0</v>
      </c>
      <c r="L62" s="83">
        <v>0</v>
      </c>
      <c r="M62" s="83">
        <v>0</v>
      </c>
      <c r="N62" s="83">
        <v>0</v>
      </c>
      <c r="O62" s="83">
        <v>0</v>
      </c>
      <c r="P62" s="66"/>
      <c r="Q62" s="66"/>
      <c r="R62" s="78" t="str">
        <f t="shared" si="1"/>
        <v>USD - Excedente Integracion</v>
      </c>
      <c r="S62" s="79">
        <v>0</v>
      </c>
      <c r="T62" s="79">
        <v>0</v>
      </c>
      <c r="U62" s="79">
        <v>0</v>
      </c>
      <c r="V62" s="79">
        <v>0</v>
      </c>
      <c r="W62" s="79">
        <v>0</v>
      </c>
      <c r="X62" s="79">
        <v>0</v>
      </c>
      <c r="Y62" s="79">
        <v>0</v>
      </c>
      <c r="Z62" s="79">
        <v>0</v>
      </c>
      <c r="AA62" s="79">
        <v>0</v>
      </c>
      <c r="AB62" s="79">
        <v>0</v>
      </c>
      <c r="AC62" s="79">
        <v>0</v>
      </c>
      <c r="AD62" s="79">
        <v>0</v>
      </c>
      <c r="AE62" s="66"/>
      <c r="AF62" s="75"/>
      <c r="AG62" s="78" t="str">
        <f t="shared" si="2"/>
        <v>USD - Excedente Integracion</v>
      </c>
      <c r="AH62" s="80">
        <v>0</v>
      </c>
      <c r="AI62" s="80">
        <v>0</v>
      </c>
      <c r="AJ62" s="80">
        <v>0</v>
      </c>
      <c r="AK62" s="80">
        <v>0</v>
      </c>
      <c r="AL62" s="80">
        <v>0</v>
      </c>
      <c r="AM62" s="80">
        <v>0</v>
      </c>
      <c r="AN62" s="80">
        <v>0</v>
      </c>
      <c r="AO62" s="80">
        <v>0</v>
      </c>
      <c r="AP62" s="80">
        <v>0</v>
      </c>
      <c r="AQ62" s="80">
        <v>0</v>
      </c>
      <c r="AR62" s="80">
        <v>0</v>
      </c>
      <c r="AS62" s="80">
        <v>0</v>
      </c>
      <c r="AT62" s="66"/>
      <c r="AU62" s="76"/>
      <c r="AV62" s="78" t="str">
        <f t="shared" si="3"/>
        <v>USD - Excedente Integracion</v>
      </c>
      <c r="AW62" s="80">
        <v>0</v>
      </c>
      <c r="AX62" s="80">
        <v>0</v>
      </c>
      <c r="AY62" s="80">
        <v>0</v>
      </c>
      <c r="AZ62" s="80">
        <v>0</v>
      </c>
      <c r="BA62" s="80">
        <v>0</v>
      </c>
      <c r="BB62" s="80">
        <v>0</v>
      </c>
      <c r="BC62" s="80">
        <v>0</v>
      </c>
      <c r="BD62" s="80">
        <v>0</v>
      </c>
      <c r="BE62" s="80">
        <v>0</v>
      </c>
      <c r="BF62" s="80">
        <v>0</v>
      </c>
      <c r="BG62" s="80">
        <v>0</v>
      </c>
      <c r="BH62" s="80">
        <v>0</v>
      </c>
      <c r="BI62" s="66"/>
      <c r="BJ62" s="76"/>
      <c r="BK62" s="78" t="str">
        <f t="shared" si="4"/>
        <v>USD - Excedente Integracion</v>
      </c>
      <c r="BL62" s="81" t="s">
        <v>338</v>
      </c>
      <c r="BM62" s="81" t="s">
        <v>338</v>
      </c>
      <c r="BN62" s="81" t="s">
        <v>338</v>
      </c>
      <c r="BO62" s="81" t="s">
        <v>338</v>
      </c>
      <c r="BP62" s="81" t="s">
        <v>338</v>
      </c>
      <c r="BQ62" s="81" t="s">
        <v>338</v>
      </c>
      <c r="BR62" s="81" t="s">
        <v>338</v>
      </c>
      <c r="BS62" s="81" t="s">
        <v>338</v>
      </c>
      <c r="BT62" s="81" t="s">
        <v>338</v>
      </c>
      <c r="BU62" s="81" t="s">
        <v>338</v>
      </c>
      <c r="BV62" s="81" t="s">
        <v>338</v>
      </c>
      <c r="BW62" s="81" t="s">
        <v>338</v>
      </c>
      <c r="BX62" s="66"/>
      <c r="BY62" s="76"/>
      <c r="BZ62" s="78" t="str">
        <f t="shared" si="5"/>
        <v>USD - Excedente Integracion</v>
      </c>
      <c r="CA62" s="79">
        <v>1</v>
      </c>
      <c r="CB62" s="79">
        <v>1</v>
      </c>
      <c r="CC62" s="79">
        <v>1</v>
      </c>
      <c r="CD62" s="79">
        <v>1</v>
      </c>
      <c r="CE62" s="79">
        <v>1</v>
      </c>
      <c r="CF62" s="79">
        <v>1</v>
      </c>
      <c r="CG62" s="79">
        <v>1</v>
      </c>
      <c r="CH62" s="79">
        <v>1</v>
      </c>
      <c r="CI62" s="79">
        <v>1</v>
      </c>
      <c r="CJ62" s="79">
        <v>1</v>
      </c>
      <c r="CK62" s="79">
        <v>1</v>
      </c>
      <c r="CL62" s="79">
        <v>1</v>
      </c>
      <c r="CM62" s="66"/>
      <c r="CN62" s="76"/>
      <c r="CO62" s="78" t="str">
        <f t="shared" si="6"/>
        <v>USD - Excedente Integracion</v>
      </c>
      <c r="CP62" s="79">
        <v>0</v>
      </c>
      <c r="CQ62" s="79">
        <v>0</v>
      </c>
      <c r="CR62" s="79">
        <v>0</v>
      </c>
      <c r="CS62" s="79">
        <v>0</v>
      </c>
      <c r="CT62" s="79">
        <v>0</v>
      </c>
      <c r="CU62" s="79">
        <v>0</v>
      </c>
      <c r="CV62" s="79">
        <v>0</v>
      </c>
      <c r="CW62" s="79">
        <v>0</v>
      </c>
      <c r="CX62" s="79">
        <v>0</v>
      </c>
      <c r="CY62" s="79">
        <v>0</v>
      </c>
      <c r="CZ62" s="79">
        <v>0</v>
      </c>
      <c r="DA62" s="79">
        <v>0</v>
      </c>
      <c r="DB62" s="66"/>
      <c r="DC62" s="66"/>
      <c r="DD62" s="78" t="str">
        <f t="shared" si="7"/>
        <v>USD - Excedente Integracion</v>
      </c>
      <c r="DE62" s="79">
        <v>0</v>
      </c>
      <c r="DF62" s="79">
        <v>0</v>
      </c>
      <c r="DG62" s="79">
        <v>0</v>
      </c>
      <c r="DH62" s="79">
        <v>0</v>
      </c>
      <c r="DI62" s="79">
        <v>0</v>
      </c>
      <c r="DJ62" s="79">
        <v>0</v>
      </c>
      <c r="DK62" s="79">
        <v>0</v>
      </c>
      <c r="DL62" s="79">
        <v>0</v>
      </c>
      <c r="DM62" s="79">
        <v>0</v>
      </c>
      <c r="DN62" s="79">
        <v>0</v>
      </c>
      <c r="DO62" s="79">
        <v>0</v>
      </c>
      <c r="DP62" s="79">
        <v>0</v>
      </c>
      <c r="DQ62" s="66"/>
      <c r="DR62" s="76"/>
      <c r="DS62" s="78" t="str">
        <f t="shared" si="8"/>
        <v>USD - Excedente Integracion</v>
      </c>
      <c r="DT62" s="79">
        <v>0</v>
      </c>
      <c r="DU62" s="79">
        <v>0</v>
      </c>
      <c r="DV62" s="79">
        <v>0</v>
      </c>
      <c r="DW62" s="79">
        <v>0</v>
      </c>
      <c r="DX62" s="79">
        <v>0</v>
      </c>
      <c r="DY62" s="79">
        <v>0</v>
      </c>
      <c r="DZ62" s="79">
        <v>0</v>
      </c>
      <c r="EA62" s="79">
        <v>0</v>
      </c>
      <c r="EB62" s="79">
        <v>0</v>
      </c>
      <c r="EC62" s="79">
        <v>0</v>
      </c>
      <c r="ED62" s="79">
        <v>0</v>
      </c>
      <c r="EE62" s="79">
        <v>0</v>
      </c>
      <c r="EF62" s="66"/>
      <c r="EG62" s="76"/>
      <c r="EH62" s="78" t="str">
        <f t="shared" si="9"/>
        <v>USD - Excedente Integracion</v>
      </c>
      <c r="EI62" s="79">
        <v>0</v>
      </c>
      <c r="EJ62" s="79">
        <v>0</v>
      </c>
      <c r="EK62" s="79">
        <v>0</v>
      </c>
      <c r="EL62" s="79">
        <v>0</v>
      </c>
      <c r="EM62" s="79">
        <v>0</v>
      </c>
      <c r="EN62" s="79">
        <v>0</v>
      </c>
      <c r="EO62" s="79">
        <v>0</v>
      </c>
      <c r="EP62" s="79">
        <v>0</v>
      </c>
      <c r="EQ62" s="79">
        <v>0</v>
      </c>
      <c r="ER62" s="79">
        <v>0</v>
      </c>
      <c r="ES62" s="79">
        <v>0</v>
      </c>
      <c r="ET62" s="79">
        <v>0</v>
      </c>
      <c r="EU62" s="66"/>
      <c r="EV62" s="66"/>
      <c r="EW62" s="66"/>
      <c r="EX62" s="66"/>
      <c r="EY62" s="66"/>
      <c r="EZ62" s="66"/>
      <c r="FA62" s="66"/>
      <c r="FB62" s="66"/>
      <c r="FC62" s="66"/>
      <c r="FD62" s="66"/>
      <c r="FE62" s="66"/>
      <c r="FF62" s="66"/>
      <c r="FG62" s="66"/>
      <c r="FH62" s="66"/>
      <c r="FI62" s="66"/>
      <c r="FJ62" s="76"/>
      <c r="FK62" s="78" t="str">
        <f t="shared" si="10"/>
        <v>USD - Excedente Integracion</v>
      </c>
      <c r="FL62" s="79">
        <v>0</v>
      </c>
      <c r="FM62" s="79">
        <v>0</v>
      </c>
      <c r="FN62" s="79">
        <v>0</v>
      </c>
      <c r="FO62" s="79">
        <v>0</v>
      </c>
      <c r="FP62" s="79">
        <v>0</v>
      </c>
      <c r="FQ62" s="79">
        <v>0</v>
      </c>
      <c r="FR62" s="79">
        <v>0</v>
      </c>
      <c r="FS62" s="79">
        <v>0</v>
      </c>
      <c r="FT62" s="79">
        <v>0</v>
      </c>
      <c r="FU62" s="79">
        <v>0</v>
      </c>
      <c r="FV62" s="79">
        <v>0</v>
      </c>
      <c r="FW62" s="79">
        <v>0</v>
      </c>
      <c r="FX62" s="66"/>
      <c r="FY62" s="76"/>
      <c r="FZ62" s="78" t="str">
        <f t="shared" si="11"/>
        <v>USD - Excedente Integracion</v>
      </c>
      <c r="GA62" s="79" t="s">
        <v>338</v>
      </c>
      <c r="GB62" s="79" t="s">
        <v>338</v>
      </c>
      <c r="GC62" s="79" t="s">
        <v>338</v>
      </c>
      <c r="GD62" s="79" t="s">
        <v>338</v>
      </c>
      <c r="GE62" s="79" t="s">
        <v>338</v>
      </c>
      <c r="GF62" s="79" t="s">
        <v>338</v>
      </c>
      <c r="GG62" s="79" t="s">
        <v>338</v>
      </c>
      <c r="GH62" s="79" t="s">
        <v>338</v>
      </c>
      <c r="GI62" s="79" t="s">
        <v>338</v>
      </c>
      <c r="GJ62" s="79" t="s">
        <v>338</v>
      </c>
      <c r="GK62" s="79" t="s">
        <v>338</v>
      </c>
      <c r="GL62" s="79" t="s">
        <v>338</v>
      </c>
    </row>
    <row r="63" spans="1:194" ht="14.25" customHeight="1" x14ac:dyDescent="0.35">
      <c r="A63" s="65"/>
      <c r="B63" s="75"/>
      <c r="C63" s="76" t="s">
        <v>402</v>
      </c>
      <c r="D63" s="83">
        <v>164398.49886552861</v>
      </c>
      <c r="E63" s="83">
        <v>164398.49886552861</v>
      </c>
      <c r="F63" s="83">
        <v>164398.49886552861</v>
      </c>
      <c r="G63" s="83">
        <v>164398.49886552861</v>
      </c>
      <c r="H63" s="83">
        <v>164398.49886552861</v>
      </c>
      <c r="I63" s="83">
        <v>164398.49886552861</v>
      </c>
      <c r="J63" s="83">
        <v>164398.49886552861</v>
      </c>
      <c r="K63" s="83">
        <v>164398.49886552861</v>
      </c>
      <c r="L63" s="83">
        <v>164398.49886552861</v>
      </c>
      <c r="M63" s="83">
        <v>164398.49886552861</v>
      </c>
      <c r="N63" s="83">
        <v>164398.49886552861</v>
      </c>
      <c r="O63" s="83">
        <v>164398.49886552861</v>
      </c>
      <c r="P63" s="66"/>
      <c r="Q63" s="66"/>
      <c r="R63" s="78" t="str">
        <f t="shared" si="1"/>
        <v>USD - Coeficientes obligatorios</v>
      </c>
      <c r="S63" s="79">
        <v>0</v>
      </c>
      <c r="T63" s="79">
        <v>0</v>
      </c>
      <c r="U63" s="79">
        <v>0</v>
      </c>
      <c r="V63" s="79">
        <v>0</v>
      </c>
      <c r="W63" s="79">
        <v>0</v>
      </c>
      <c r="X63" s="79">
        <v>0</v>
      </c>
      <c r="Y63" s="79">
        <v>0</v>
      </c>
      <c r="Z63" s="79">
        <v>0</v>
      </c>
      <c r="AA63" s="79">
        <v>0</v>
      </c>
      <c r="AB63" s="79">
        <v>0</v>
      </c>
      <c r="AC63" s="79">
        <v>0</v>
      </c>
      <c r="AD63" s="79">
        <v>0</v>
      </c>
      <c r="AE63" s="66"/>
      <c r="AF63" s="75"/>
      <c r="AG63" s="78" t="str">
        <f t="shared" si="2"/>
        <v>USD - Coeficientes obligatorios</v>
      </c>
      <c r="AH63" s="80">
        <v>0</v>
      </c>
      <c r="AI63" s="80">
        <v>0</v>
      </c>
      <c r="AJ63" s="80">
        <v>0</v>
      </c>
      <c r="AK63" s="80">
        <v>0</v>
      </c>
      <c r="AL63" s="80">
        <v>0</v>
      </c>
      <c r="AM63" s="80">
        <v>0</v>
      </c>
      <c r="AN63" s="80">
        <v>0</v>
      </c>
      <c r="AO63" s="80">
        <v>0</v>
      </c>
      <c r="AP63" s="80">
        <v>0</v>
      </c>
      <c r="AQ63" s="80">
        <v>0</v>
      </c>
      <c r="AR63" s="80">
        <v>0</v>
      </c>
      <c r="AS63" s="80">
        <v>0</v>
      </c>
      <c r="AT63" s="66"/>
      <c r="AU63" s="76"/>
      <c r="AV63" s="78" t="str">
        <f t="shared" si="3"/>
        <v>USD - Coeficientes obligatorios</v>
      </c>
      <c r="AW63" s="80">
        <v>0</v>
      </c>
      <c r="AX63" s="80">
        <v>0</v>
      </c>
      <c r="AY63" s="80">
        <v>0</v>
      </c>
      <c r="AZ63" s="80">
        <v>0</v>
      </c>
      <c r="BA63" s="80">
        <v>0</v>
      </c>
      <c r="BB63" s="80">
        <v>0</v>
      </c>
      <c r="BC63" s="80">
        <v>0</v>
      </c>
      <c r="BD63" s="80">
        <v>0</v>
      </c>
      <c r="BE63" s="80">
        <v>0</v>
      </c>
      <c r="BF63" s="80">
        <v>0</v>
      </c>
      <c r="BG63" s="80">
        <v>0</v>
      </c>
      <c r="BH63" s="80">
        <v>0</v>
      </c>
      <c r="BI63" s="66"/>
      <c r="BJ63" s="76"/>
      <c r="BK63" s="78" t="str">
        <f t="shared" si="4"/>
        <v>USD - Coeficientes obligatorios</v>
      </c>
      <c r="BL63" s="81" t="s">
        <v>338</v>
      </c>
      <c r="BM63" s="81" t="s">
        <v>338</v>
      </c>
      <c r="BN63" s="81" t="s">
        <v>338</v>
      </c>
      <c r="BO63" s="81" t="s">
        <v>338</v>
      </c>
      <c r="BP63" s="81" t="s">
        <v>338</v>
      </c>
      <c r="BQ63" s="81" t="s">
        <v>338</v>
      </c>
      <c r="BR63" s="81" t="s">
        <v>338</v>
      </c>
      <c r="BS63" s="81" t="s">
        <v>338</v>
      </c>
      <c r="BT63" s="81" t="s">
        <v>338</v>
      </c>
      <c r="BU63" s="81" t="s">
        <v>338</v>
      </c>
      <c r="BV63" s="81" t="s">
        <v>338</v>
      </c>
      <c r="BW63" s="81" t="s">
        <v>338</v>
      </c>
      <c r="BX63" s="66"/>
      <c r="BY63" s="76"/>
      <c r="BZ63" s="78" t="str">
        <f t="shared" si="5"/>
        <v>USD - Coeficientes obligatorios</v>
      </c>
      <c r="CA63" s="79">
        <v>1</v>
      </c>
      <c r="CB63" s="79">
        <v>1</v>
      </c>
      <c r="CC63" s="79">
        <v>1</v>
      </c>
      <c r="CD63" s="79">
        <v>1</v>
      </c>
      <c r="CE63" s="79">
        <v>1</v>
      </c>
      <c r="CF63" s="79">
        <v>1</v>
      </c>
      <c r="CG63" s="79">
        <v>1</v>
      </c>
      <c r="CH63" s="79">
        <v>1</v>
      </c>
      <c r="CI63" s="79">
        <v>1</v>
      </c>
      <c r="CJ63" s="79">
        <v>1</v>
      </c>
      <c r="CK63" s="79">
        <v>1</v>
      </c>
      <c r="CL63" s="79">
        <v>1</v>
      </c>
      <c r="CM63" s="66"/>
      <c r="CN63" s="76"/>
      <c r="CO63" s="78" t="str">
        <f t="shared" si="6"/>
        <v>USD - Coeficientes obligatorios</v>
      </c>
      <c r="CP63" s="79">
        <v>0</v>
      </c>
      <c r="CQ63" s="79">
        <v>0</v>
      </c>
      <c r="CR63" s="79">
        <v>0</v>
      </c>
      <c r="CS63" s="79">
        <v>0</v>
      </c>
      <c r="CT63" s="79">
        <v>0</v>
      </c>
      <c r="CU63" s="79">
        <v>0</v>
      </c>
      <c r="CV63" s="79">
        <v>0</v>
      </c>
      <c r="CW63" s="79">
        <v>0</v>
      </c>
      <c r="CX63" s="79">
        <v>0</v>
      </c>
      <c r="CY63" s="79">
        <v>0</v>
      </c>
      <c r="CZ63" s="79">
        <v>0</v>
      </c>
      <c r="DA63" s="79">
        <v>0</v>
      </c>
      <c r="DB63" s="66"/>
      <c r="DC63" s="66"/>
      <c r="DD63" s="78" t="str">
        <f t="shared" si="7"/>
        <v>USD - Coeficientes obligatorios</v>
      </c>
      <c r="DE63" s="79">
        <v>0</v>
      </c>
      <c r="DF63" s="79">
        <v>0</v>
      </c>
      <c r="DG63" s="79">
        <v>0</v>
      </c>
      <c r="DH63" s="79">
        <v>0</v>
      </c>
      <c r="DI63" s="79">
        <v>0</v>
      </c>
      <c r="DJ63" s="79">
        <v>0</v>
      </c>
      <c r="DK63" s="79">
        <v>0</v>
      </c>
      <c r="DL63" s="79">
        <v>0</v>
      </c>
      <c r="DM63" s="79">
        <v>0</v>
      </c>
      <c r="DN63" s="79">
        <v>0</v>
      </c>
      <c r="DO63" s="79">
        <v>0</v>
      </c>
      <c r="DP63" s="79">
        <v>0</v>
      </c>
      <c r="DQ63" s="66"/>
      <c r="DR63" s="76"/>
      <c r="DS63" s="78" t="str">
        <f t="shared" si="8"/>
        <v>USD - Coeficientes obligatorios</v>
      </c>
      <c r="DT63" s="79">
        <v>0</v>
      </c>
      <c r="DU63" s="79">
        <v>0</v>
      </c>
      <c r="DV63" s="79">
        <v>0</v>
      </c>
      <c r="DW63" s="79">
        <v>0</v>
      </c>
      <c r="DX63" s="79">
        <v>0</v>
      </c>
      <c r="DY63" s="79">
        <v>0</v>
      </c>
      <c r="DZ63" s="79">
        <v>0</v>
      </c>
      <c r="EA63" s="79">
        <v>0</v>
      </c>
      <c r="EB63" s="79">
        <v>0</v>
      </c>
      <c r="EC63" s="79">
        <v>0</v>
      </c>
      <c r="ED63" s="79">
        <v>0</v>
      </c>
      <c r="EE63" s="79">
        <v>0</v>
      </c>
      <c r="EF63" s="66"/>
      <c r="EG63" s="76"/>
      <c r="EH63" s="78" t="str">
        <f t="shared" si="9"/>
        <v>USD - Coeficientes obligatorios</v>
      </c>
      <c r="EI63" s="79">
        <v>0</v>
      </c>
      <c r="EJ63" s="79">
        <v>0</v>
      </c>
      <c r="EK63" s="79">
        <v>0</v>
      </c>
      <c r="EL63" s="79">
        <v>0</v>
      </c>
      <c r="EM63" s="79">
        <v>0</v>
      </c>
      <c r="EN63" s="79">
        <v>0</v>
      </c>
      <c r="EO63" s="79">
        <v>0</v>
      </c>
      <c r="EP63" s="79">
        <v>0</v>
      </c>
      <c r="EQ63" s="79">
        <v>0</v>
      </c>
      <c r="ER63" s="79">
        <v>0</v>
      </c>
      <c r="ES63" s="79">
        <v>0</v>
      </c>
      <c r="ET63" s="79">
        <v>0</v>
      </c>
      <c r="EU63" s="66"/>
      <c r="EV63" s="66"/>
      <c r="EW63" s="66"/>
      <c r="EX63" s="66"/>
      <c r="EY63" s="66"/>
      <c r="EZ63" s="66"/>
      <c r="FA63" s="66"/>
      <c r="FB63" s="66"/>
      <c r="FC63" s="66"/>
      <c r="FD63" s="66"/>
      <c r="FE63" s="66"/>
      <c r="FF63" s="66"/>
      <c r="FG63" s="66"/>
      <c r="FH63" s="66"/>
      <c r="FI63" s="66"/>
      <c r="FJ63" s="76"/>
      <c r="FK63" s="78" t="str">
        <f t="shared" si="10"/>
        <v>USD - Coeficientes obligatorios</v>
      </c>
      <c r="FL63" s="79">
        <v>0</v>
      </c>
      <c r="FM63" s="79">
        <v>0</v>
      </c>
      <c r="FN63" s="79">
        <v>0</v>
      </c>
      <c r="FO63" s="79">
        <v>0</v>
      </c>
      <c r="FP63" s="79">
        <v>0</v>
      </c>
      <c r="FQ63" s="79">
        <v>0</v>
      </c>
      <c r="FR63" s="79">
        <v>0</v>
      </c>
      <c r="FS63" s="79">
        <v>0</v>
      </c>
      <c r="FT63" s="79">
        <v>0</v>
      </c>
      <c r="FU63" s="79">
        <v>0</v>
      </c>
      <c r="FV63" s="79">
        <v>0</v>
      </c>
      <c r="FW63" s="79">
        <v>0</v>
      </c>
      <c r="FX63" s="66"/>
      <c r="FY63" s="76"/>
      <c r="FZ63" s="78" t="str">
        <f t="shared" si="11"/>
        <v>USD - Coeficientes obligatorios</v>
      </c>
      <c r="GA63" s="79" t="s">
        <v>338</v>
      </c>
      <c r="GB63" s="79" t="s">
        <v>338</v>
      </c>
      <c r="GC63" s="79" t="s">
        <v>338</v>
      </c>
      <c r="GD63" s="79" t="s">
        <v>338</v>
      </c>
      <c r="GE63" s="79" t="s">
        <v>338</v>
      </c>
      <c r="GF63" s="79" t="s">
        <v>338</v>
      </c>
      <c r="GG63" s="79" t="s">
        <v>338</v>
      </c>
      <c r="GH63" s="79" t="s">
        <v>338</v>
      </c>
      <c r="GI63" s="79" t="s">
        <v>338</v>
      </c>
      <c r="GJ63" s="79" t="s">
        <v>338</v>
      </c>
      <c r="GK63" s="79" t="s">
        <v>338</v>
      </c>
      <c r="GL63" s="79" t="s">
        <v>338</v>
      </c>
    </row>
    <row r="64" spans="1:194" ht="14.25" customHeight="1" x14ac:dyDescent="0.35">
      <c r="A64" s="65"/>
      <c r="B64" s="75"/>
      <c r="C64" s="76" t="s">
        <v>403</v>
      </c>
      <c r="D64" s="83">
        <v>0</v>
      </c>
      <c r="E64" s="83">
        <v>0</v>
      </c>
      <c r="F64" s="83">
        <v>0</v>
      </c>
      <c r="G64" s="83">
        <v>0</v>
      </c>
      <c r="H64" s="83">
        <v>0</v>
      </c>
      <c r="I64" s="83">
        <v>0</v>
      </c>
      <c r="J64" s="83">
        <v>0</v>
      </c>
      <c r="K64" s="83">
        <v>0</v>
      </c>
      <c r="L64" s="83">
        <v>0</v>
      </c>
      <c r="M64" s="83">
        <v>0</v>
      </c>
      <c r="N64" s="83">
        <v>0</v>
      </c>
      <c r="O64" s="83">
        <v>0</v>
      </c>
      <c r="P64" s="66"/>
      <c r="Q64" s="66"/>
      <c r="R64" s="78" t="str">
        <f t="shared" si="1"/>
        <v>USD - Cuenta de Cuadre Activo</v>
      </c>
      <c r="S64" s="79">
        <v>0</v>
      </c>
      <c r="T64" s="79">
        <v>0</v>
      </c>
      <c r="U64" s="79">
        <v>0</v>
      </c>
      <c r="V64" s="79">
        <v>0</v>
      </c>
      <c r="W64" s="79">
        <v>0</v>
      </c>
      <c r="X64" s="79">
        <v>0</v>
      </c>
      <c r="Y64" s="79">
        <v>0</v>
      </c>
      <c r="Z64" s="79">
        <v>0</v>
      </c>
      <c r="AA64" s="79">
        <v>0</v>
      </c>
      <c r="AB64" s="79">
        <v>0</v>
      </c>
      <c r="AC64" s="79">
        <v>0</v>
      </c>
      <c r="AD64" s="79">
        <v>0</v>
      </c>
      <c r="AE64" s="66"/>
      <c r="AF64" s="75"/>
      <c r="AG64" s="78" t="str">
        <f t="shared" si="2"/>
        <v>USD - Cuenta de Cuadre Activo</v>
      </c>
      <c r="AH64" s="80">
        <v>0</v>
      </c>
      <c r="AI64" s="80">
        <v>0</v>
      </c>
      <c r="AJ64" s="80">
        <v>0</v>
      </c>
      <c r="AK64" s="80">
        <v>0</v>
      </c>
      <c r="AL64" s="80">
        <v>0</v>
      </c>
      <c r="AM64" s="80">
        <v>0</v>
      </c>
      <c r="AN64" s="80">
        <v>0</v>
      </c>
      <c r="AO64" s="80">
        <v>0</v>
      </c>
      <c r="AP64" s="80">
        <v>0</v>
      </c>
      <c r="AQ64" s="80">
        <v>0</v>
      </c>
      <c r="AR64" s="80">
        <v>0</v>
      </c>
      <c r="AS64" s="80">
        <v>0</v>
      </c>
      <c r="AT64" s="66"/>
      <c r="AU64" s="76"/>
      <c r="AV64" s="78" t="str">
        <f t="shared" si="3"/>
        <v>USD - Cuenta de Cuadre Activo</v>
      </c>
      <c r="AW64" s="80">
        <v>0</v>
      </c>
      <c r="AX64" s="80">
        <v>0</v>
      </c>
      <c r="AY64" s="80">
        <v>0</v>
      </c>
      <c r="AZ64" s="80">
        <v>0</v>
      </c>
      <c r="BA64" s="80">
        <v>0</v>
      </c>
      <c r="BB64" s="80">
        <v>0</v>
      </c>
      <c r="BC64" s="80">
        <v>0</v>
      </c>
      <c r="BD64" s="80">
        <v>0</v>
      </c>
      <c r="BE64" s="80">
        <v>0</v>
      </c>
      <c r="BF64" s="80">
        <v>0</v>
      </c>
      <c r="BG64" s="80">
        <v>0</v>
      </c>
      <c r="BH64" s="80">
        <v>0</v>
      </c>
      <c r="BI64" s="66"/>
      <c r="BJ64" s="76"/>
      <c r="BK64" s="78" t="str">
        <f t="shared" si="4"/>
        <v>USD - Cuenta de Cuadre Activo</v>
      </c>
      <c r="BL64" s="81" t="s">
        <v>338</v>
      </c>
      <c r="BM64" s="81" t="s">
        <v>338</v>
      </c>
      <c r="BN64" s="81" t="s">
        <v>338</v>
      </c>
      <c r="BO64" s="81" t="s">
        <v>338</v>
      </c>
      <c r="BP64" s="81" t="s">
        <v>338</v>
      </c>
      <c r="BQ64" s="81" t="s">
        <v>338</v>
      </c>
      <c r="BR64" s="81" t="s">
        <v>338</v>
      </c>
      <c r="BS64" s="81" t="s">
        <v>338</v>
      </c>
      <c r="BT64" s="81" t="s">
        <v>338</v>
      </c>
      <c r="BU64" s="81" t="s">
        <v>338</v>
      </c>
      <c r="BV64" s="81" t="s">
        <v>338</v>
      </c>
      <c r="BW64" s="81" t="s">
        <v>338</v>
      </c>
      <c r="BX64" s="66"/>
      <c r="BY64" s="76"/>
      <c r="BZ64" s="78" t="str">
        <f t="shared" si="5"/>
        <v>USD - Cuenta de Cuadre Activo</v>
      </c>
      <c r="CA64" s="79">
        <v>1</v>
      </c>
      <c r="CB64" s="79">
        <v>1</v>
      </c>
      <c r="CC64" s="79">
        <v>1</v>
      </c>
      <c r="CD64" s="79">
        <v>1</v>
      </c>
      <c r="CE64" s="79">
        <v>1</v>
      </c>
      <c r="CF64" s="79">
        <v>1</v>
      </c>
      <c r="CG64" s="79">
        <v>1</v>
      </c>
      <c r="CH64" s="79">
        <v>1</v>
      </c>
      <c r="CI64" s="79">
        <v>1</v>
      </c>
      <c r="CJ64" s="79">
        <v>1</v>
      </c>
      <c r="CK64" s="79">
        <v>1</v>
      </c>
      <c r="CL64" s="79">
        <v>1</v>
      </c>
      <c r="CM64" s="66"/>
      <c r="CN64" s="76"/>
      <c r="CO64" s="78" t="str">
        <f t="shared" si="6"/>
        <v>USD - Cuenta de Cuadre Activo</v>
      </c>
      <c r="CP64" s="79">
        <v>0</v>
      </c>
      <c r="CQ64" s="79">
        <v>0</v>
      </c>
      <c r="CR64" s="79">
        <v>0</v>
      </c>
      <c r="CS64" s="79">
        <v>0</v>
      </c>
      <c r="CT64" s="79">
        <v>0</v>
      </c>
      <c r="CU64" s="79">
        <v>0</v>
      </c>
      <c r="CV64" s="79">
        <v>0</v>
      </c>
      <c r="CW64" s="79">
        <v>0</v>
      </c>
      <c r="CX64" s="79">
        <v>0</v>
      </c>
      <c r="CY64" s="79">
        <v>0</v>
      </c>
      <c r="CZ64" s="79">
        <v>0</v>
      </c>
      <c r="DA64" s="79">
        <v>0</v>
      </c>
      <c r="DB64" s="66"/>
      <c r="DC64" s="66"/>
      <c r="DD64" s="78" t="str">
        <f t="shared" si="7"/>
        <v>USD - Cuenta de Cuadre Activo</v>
      </c>
      <c r="DE64" s="79">
        <v>0</v>
      </c>
      <c r="DF64" s="79">
        <v>0</v>
      </c>
      <c r="DG64" s="79">
        <v>0</v>
      </c>
      <c r="DH64" s="79">
        <v>0</v>
      </c>
      <c r="DI64" s="79">
        <v>0</v>
      </c>
      <c r="DJ64" s="79">
        <v>0</v>
      </c>
      <c r="DK64" s="79">
        <v>0</v>
      </c>
      <c r="DL64" s="79">
        <v>0</v>
      </c>
      <c r="DM64" s="79">
        <v>0</v>
      </c>
      <c r="DN64" s="79">
        <v>0</v>
      </c>
      <c r="DO64" s="79">
        <v>0</v>
      </c>
      <c r="DP64" s="79">
        <v>0</v>
      </c>
      <c r="DQ64" s="66"/>
      <c r="DR64" s="76"/>
      <c r="DS64" s="78" t="str">
        <f t="shared" si="8"/>
        <v>USD - Cuenta de Cuadre Activo</v>
      </c>
      <c r="DT64" s="79">
        <v>0</v>
      </c>
      <c r="DU64" s="79">
        <v>0</v>
      </c>
      <c r="DV64" s="79">
        <v>0</v>
      </c>
      <c r="DW64" s="79">
        <v>0</v>
      </c>
      <c r="DX64" s="79">
        <v>0</v>
      </c>
      <c r="DY64" s="79">
        <v>0</v>
      </c>
      <c r="DZ64" s="79">
        <v>0</v>
      </c>
      <c r="EA64" s="79">
        <v>0</v>
      </c>
      <c r="EB64" s="79">
        <v>0</v>
      </c>
      <c r="EC64" s="79">
        <v>0</v>
      </c>
      <c r="ED64" s="79">
        <v>0</v>
      </c>
      <c r="EE64" s="79">
        <v>0</v>
      </c>
      <c r="EF64" s="66"/>
      <c r="EG64" s="76"/>
      <c r="EH64" s="78" t="str">
        <f t="shared" si="9"/>
        <v>USD - Cuenta de Cuadre Activo</v>
      </c>
      <c r="EI64" s="79">
        <v>0</v>
      </c>
      <c r="EJ64" s="79">
        <v>0</v>
      </c>
      <c r="EK64" s="79">
        <v>0</v>
      </c>
      <c r="EL64" s="79">
        <v>0</v>
      </c>
      <c r="EM64" s="79">
        <v>0</v>
      </c>
      <c r="EN64" s="79">
        <v>0</v>
      </c>
      <c r="EO64" s="79">
        <v>0</v>
      </c>
      <c r="EP64" s="79">
        <v>0</v>
      </c>
      <c r="EQ64" s="79">
        <v>0</v>
      </c>
      <c r="ER64" s="79">
        <v>0</v>
      </c>
      <c r="ES64" s="79">
        <v>0</v>
      </c>
      <c r="ET64" s="79">
        <v>0</v>
      </c>
      <c r="EU64" s="66"/>
      <c r="EV64" s="66"/>
      <c r="EW64" s="66"/>
      <c r="EX64" s="66"/>
      <c r="EY64" s="66"/>
      <c r="EZ64" s="66"/>
      <c r="FA64" s="66"/>
      <c r="FB64" s="66"/>
      <c r="FC64" s="66"/>
      <c r="FD64" s="66"/>
      <c r="FE64" s="66"/>
      <c r="FF64" s="66"/>
      <c r="FG64" s="66"/>
      <c r="FH64" s="66"/>
      <c r="FI64" s="66"/>
      <c r="FJ64" s="76"/>
      <c r="FK64" s="78" t="str">
        <f t="shared" si="10"/>
        <v>USD - Cuenta de Cuadre Activo</v>
      </c>
      <c r="FL64" s="79">
        <v>0</v>
      </c>
      <c r="FM64" s="79">
        <v>0</v>
      </c>
      <c r="FN64" s="79">
        <v>0</v>
      </c>
      <c r="FO64" s="79">
        <v>0</v>
      </c>
      <c r="FP64" s="79">
        <v>0</v>
      </c>
      <c r="FQ64" s="79">
        <v>0</v>
      </c>
      <c r="FR64" s="79">
        <v>0</v>
      </c>
      <c r="FS64" s="79">
        <v>0</v>
      </c>
      <c r="FT64" s="79">
        <v>0</v>
      </c>
      <c r="FU64" s="79">
        <v>0</v>
      </c>
      <c r="FV64" s="79">
        <v>0</v>
      </c>
      <c r="FW64" s="79">
        <v>0</v>
      </c>
      <c r="FX64" s="66"/>
      <c r="FY64" s="76"/>
      <c r="FZ64" s="78" t="str">
        <f t="shared" si="11"/>
        <v>USD - Cuenta de Cuadre Activo</v>
      </c>
      <c r="GA64" s="79" t="s">
        <v>338</v>
      </c>
      <c r="GB64" s="79" t="s">
        <v>338</v>
      </c>
      <c r="GC64" s="79" t="s">
        <v>338</v>
      </c>
      <c r="GD64" s="79" t="s">
        <v>338</v>
      </c>
      <c r="GE64" s="79" t="s">
        <v>338</v>
      </c>
      <c r="GF64" s="79" t="s">
        <v>338</v>
      </c>
      <c r="GG64" s="79" t="s">
        <v>338</v>
      </c>
      <c r="GH64" s="79" t="s">
        <v>338</v>
      </c>
      <c r="GI64" s="79" t="s">
        <v>338</v>
      </c>
      <c r="GJ64" s="79" t="s">
        <v>338</v>
      </c>
      <c r="GK64" s="79" t="s">
        <v>338</v>
      </c>
      <c r="GL64" s="79" t="s">
        <v>338</v>
      </c>
    </row>
    <row r="65" spans="1:194" ht="14.25" customHeight="1" x14ac:dyDescent="0.35">
      <c r="A65" s="65"/>
      <c r="B65" s="75"/>
      <c r="C65" s="76" t="s">
        <v>404</v>
      </c>
      <c r="D65" s="83">
        <v>0</v>
      </c>
      <c r="E65" s="83">
        <v>0</v>
      </c>
      <c r="F65" s="83">
        <v>0</v>
      </c>
      <c r="G65" s="83">
        <v>0</v>
      </c>
      <c r="H65" s="83">
        <v>0</v>
      </c>
      <c r="I65" s="83">
        <v>0</v>
      </c>
      <c r="J65" s="83">
        <v>0</v>
      </c>
      <c r="K65" s="83">
        <v>0</v>
      </c>
      <c r="L65" s="83">
        <v>0</v>
      </c>
      <c r="M65" s="83">
        <v>0</v>
      </c>
      <c r="N65" s="83">
        <v>0</v>
      </c>
      <c r="O65" s="83">
        <v>0</v>
      </c>
      <c r="P65" s="66"/>
      <c r="Q65" s="66"/>
      <c r="R65" s="78" t="str">
        <f t="shared" si="1"/>
        <v>USD - Ctas.Plazo Entidades Financieras Pasivo</v>
      </c>
      <c r="S65" s="79">
        <v>0</v>
      </c>
      <c r="T65" s="79">
        <v>0</v>
      </c>
      <c r="U65" s="79">
        <v>0</v>
      </c>
      <c r="V65" s="79">
        <v>0</v>
      </c>
      <c r="W65" s="79">
        <v>0</v>
      </c>
      <c r="X65" s="79">
        <v>0</v>
      </c>
      <c r="Y65" s="79">
        <v>0</v>
      </c>
      <c r="Z65" s="79">
        <v>0</v>
      </c>
      <c r="AA65" s="79">
        <v>0</v>
      </c>
      <c r="AB65" s="79">
        <v>0</v>
      </c>
      <c r="AC65" s="79">
        <v>0</v>
      </c>
      <c r="AD65" s="79">
        <v>0</v>
      </c>
      <c r="AE65" s="66"/>
      <c r="AF65" s="75"/>
      <c r="AG65" s="78" t="str">
        <f t="shared" si="2"/>
        <v>USD - Ctas.Plazo Entidades Financieras Pasivo</v>
      </c>
      <c r="AH65" s="80">
        <v>0</v>
      </c>
      <c r="AI65" s="80">
        <v>0</v>
      </c>
      <c r="AJ65" s="80">
        <v>0</v>
      </c>
      <c r="AK65" s="80">
        <v>0</v>
      </c>
      <c r="AL65" s="80">
        <v>0</v>
      </c>
      <c r="AM65" s="80">
        <v>0</v>
      </c>
      <c r="AN65" s="80">
        <v>0</v>
      </c>
      <c r="AO65" s="80">
        <v>0</v>
      </c>
      <c r="AP65" s="80">
        <v>0</v>
      </c>
      <c r="AQ65" s="80">
        <v>0</v>
      </c>
      <c r="AR65" s="80">
        <v>0</v>
      </c>
      <c r="AS65" s="80">
        <v>0</v>
      </c>
      <c r="AT65" s="66"/>
      <c r="AU65" s="76"/>
      <c r="AV65" s="78" t="str">
        <f t="shared" si="3"/>
        <v>USD - Ctas.Plazo Entidades Financieras Pasivo</v>
      </c>
      <c r="AW65" s="80">
        <v>0</v>
      </c>
      <c r="AX65" s="80">
        <v>0</v>
      </c>
      <c r="AY65" s="80">
        <v>0</v>
      </c>
      <c r="AZ65" s="80">
        <v>0</v>
      </c>
      <c r="BA65" s="80">
        <v>0</v>
      </c>
      <c r="BB65" s="80">
        <v>0</v>
      </c>
      <c r="BC65" s="80">
        <v>0</v>
      </c>
      <c r="BD65" s="80">
        <v>0</v>
      </c>
      <c r="BE65" s="80">
        <v>0</v>
      </c>
      <c r="BF65" s="80">
        <v>0</v>
      </c>
      <c r="BG65" s="80">
        <v>0</v>
      </c>
      <c r="BH65" s="80">
        <v>0</v>
      </c>
      <c r="BI65" s="66"/>
      <c r="BJ65" s="76"/>
      <c r="BK65" s="78" t="str">
        <f t="shared" si="4"/>
        <v>USD - Ctas.Plazo Entidades Financieras Pasivo</v>
      </c>
      <c r="BL65" s="81" t="s">
        <v>338</v>
      </c>
      <c r="BM65" s="81" t="s">
        <v>338</v>
      </c>
      <c r="BN65" s="81" t="s">
        <v>338</v>
      </c>
      <c r="BO65" s="81" t="s">
        <v>338</v>
      </c>
      <c r="BP65" s="81" t="s">
        <v>338</v>
      </c>
      <c r="BQ65" s="81" t="s">
        <v>338</v>
      </c>
      <c r="BR65" s="81" t="s">
        <v>338</v>
      </c>
      <c r="BS65" s="81" t="s">
        <v>338</v>
      </c>
      <c r="BT65" s="81" t="s">
        <v>338</v>
      </c>
      <c r="BU65" s="81" t="s">
        <v>338</v>
      </c>
      <c r="BV65" s="81" t="s">
        <v>338</v>
      </c>
      <c r="BW65" s="81" t="s">
        <v>338</v>
      </c>
      <c r="BX65" s="66"/>
      <c r="BY65" s="76"/>
      <c r="BZ65" s="78" t="str">
        <f t="shared" si="5"/>
        <v>USD - Ctas.Plazo Entidades Financieras Pasivo</v>
      </c>
      <c r="CA65" s="79">
        <v>1</v>
      </c>
      <c r="CB65" s="79">
        <v>1</v>
      </c>
      <c r="CC65" s="79">
        <v>1</v>
      </c>
      <c r="CD65" s="79">
        <v>1</v>
      </c>
      <c r="CE65" s="79">
        <v>1</v>
      </c>
      <c r="CF65" s="79">
        <v>1</v>
      </c>
      <c r="CG65" s="79">
        <v>1</v>
      </c>
      <c r="CH65" s="79">
        <v>1</v>
      </c>
      <c r="CI65" s="79">
        <v>1</v>
      </c>
      <c r="CJ65" s="79">
        <v>1</v>
      </c>
      <c r="CK65" s="79">
        <v>1</v>
      </c>
      <c r="CL65" s="79">
        <v>1</v>
      </c>
      <c r="CM65" s="66"/>
      <c r="CN65" s="76"/>
      <c r="CO65" s="78" t="str">
        <f t="shared" si="6"/>
        <v>USD - Ctas.Plazo Entidades Financieras Pasivo</v>
      </c>
      <c r="CP65" s="79">
        <v>0</v>
      </c>
      <c r="CQ65" s="79">
        <v>0</v>
      </c>
      <c r="CR65" s="79">
        <v>0</v>
      </c>
      <c r="CS65" s="79">
        <v>0</v>
      </c>
      <c r="CT65" s="79">
        <v>0</v>
      </c>
      <c r="CU65" s="79">
        <v>0</v>
      </c>
      <c r="CV65" s="79">
        <v>0</v>
      </c>
      <c r="CW65" s="79">
        <v>0</v>
      </c>
      <c r="CX65" s="79">
        <v>0</v>
      </c>
      <c r="CY65" s="79">
        <v>0</v>
      </c>
      <c r="CZ65" s="79">
        <v>0</v>
      </c>
      <c r="DA65" s="79">
        <v>0</v>
      </c>
      <c r="DB65" s="66"/>
      <c r="DC65" s="66"/>
      <c r="DD65" s="78" t="str">
        <f t="shared" si="7"/>
        <v>USD - Ctas.Plazo Entidades Financieras Pasivo</v>
      </c>
      <c r="DE65" s="79">
        <v>0</v>
      </c>
      <c r="DF65" s="79">
        <v>0</v>
      </c>
      <c r="DG65" s="79">
        <v>0</v>
      </c>
      <c r="DH65" s="79">
        <v>0</v>
      </c>
      <c r="DI65" s="79">
        <v>0</v>
      </c>
      <c r="DJ65" s="79">
        <v>0</v>
      </c>
      <c r="DK65" s="79">
        <v>0</v>
      </c>
      <c r="DL65" s="79">
        <v>0</v>
      </c>
      <c r="DM65" s="79">
        <v>0</v>
      </c>
      <c r="DN65" s="79">
        <v>0</v>
      </c>
      <c r="DO65" s="79">
        <v>0</v>
      </c>
      <c r="DP65" s="79">
        <v>0</v>
      </c>
      <c r="DQ65" s="66"/>
      <c r="DR65" s="76"/>
      <c r="DS65" s="78" t="str">
        <f t="shared" si="8"/>
        <v>USD - Ctas.Plazo Entidades Financieras Pasivo</v>
      </c>
      <c r="DT65" s="79">
        <v>0</v>
      </c>
      <c r="DU65" s="79">
        <v>0</v>
      </c>
      <c r="DV65" s="79">
        <v>0</v>
      </c>
      <c r="DW65" s="79">
        <v>0</v>
      </c>
      <c r="DX65" s="79">
        <v>0</v>
      </c>
      <c r="DY65" s="79">
        <v>0</v>
      </c>
      <c r="DZ65" s="79">
        <v>0</v>
      </c>
      <c r="EA65" s="79">
        <v>0</v>
      </c>
      <c r="EB65" s="79">
        <v>0</v>
      </c>
      <c r="EC65" s="79">
        <v>0</v>
      </c>
      <c r="ED65" s="79">
        <v>0</v>
      </c>
      <c r="EE65" s="79">
        <v>0</v>
      </c>
      <c r="EF65" s="66"/>
      <c r="EG65" s="76"/>
      <c r="EH65" s="78" t="str">
        <f t="shared" si="9"/>
        <v>USD - Ctas.Plazo Entidades Financieras Pasivo</v>
      </c>
      <c r="EI65" s="79">
        <v>0</v>
      </c>
      <c r="EJ65" s="79">
        <v>0</v>
      </c>
      <c r="EK65" s="79">
        <v>0</v>
      </c>
      <c r="EL65" s="79">
        <v>0</v>
      </c>
      <c r="EM65" s="79">
        <v>0</v>
      </c>
      <c r="EN65" s="79">
        <v>0</v>
      </c>
      <c r="EO65" s="79">
        <v>0</v>
      </c>
      <c r="EP65" s="79">
        <v>0</v>
      </c>
      <c r="EQ65" s="79">
        <v>0</v>
      </c>
      <c r="ER65" s="79">
        <v>0</v>
      </c>
      <c r="ES65" s="79">
        <v>0</v>
      </c>
      <c r="ET65" s="79">
        <v>0</v>
      </c>
      <c r="EU65" s="66"/>
      <c r="EV65" s="66"/>
      <c r="EW65" s="66"/>
      <c r="EX65" s="66"/>
      <c r="EY65" s="66"/>
      <c r="EZ65" s="66"/>
      <c r="FA65" s="66"/>
      <c r="FB65" s="66"/>
      <c r="FC65" s="66"/>
      <c r="FD65" s="66"/>
      <c r="FE65" s="66"/>
      <c r="FF65" s="66"/>
      <c r="FG65" s="66"/>
      <c r="FH65" s="66"/>
      <c r="FI65" s="66"/>
      <c r="FJ65" s="76"/>
      <c r="FK65" s="78" t="str">
        <f t="shared" si="10"/>
        <v>USD - Ctas.Plazo Entidades Financieras Pasivo</v>
      </c>
      <c r="FL65" s="79">
        <v>0</v>
      </c>
      <c r="FM65" s="79">
        <v>0</v>
      </c>
      <c r="FN65" s="79">
        <v>0</v>
      </c>
      <c r="FO65" s="79">
        <v>0</v>
      </c>
      <c r="FP65" s="79">
        <v>0</v>
      </c>
      <c r="FQ65" s="79">
        <v>0</v>
      </c>
      <c r="FR65" s="79">
        <v>0</v>
      </c>
      <c r="FS65" s="79">
        <v>0</v>
      </c>
      <c r="FT65" s="79">
        <v>0</v>
      </c>
      <c r="FU65" s="79">
        <v>0</v>
      </c>
      <c r="FV65" s="79">
        <v>0</v>
      </c>
      <c r="FW65" s="79">
        <v>0</v>
      </c>
      <c r="FX65" s="66"/>
      <c r="FY65" s="76"/>
      <c r="FZ65" s="78" t="str">
        <f t="shared" si="11"/>
        <v>USD - Ctas.Plazo Entidades Financieras Pasivo</v>
      </c>
      <c r="GA65" s="79" t="s">
        <v>338</v>
      </c>
      <c r="GB65" s="79" t="s">
        <v>338</v>
      </c>
      <c r="GC65" s="79" t="s">
        <v>338</v>
      </c>
      <c r="GD65" s="79" t="s">
        <v>338</v>
      </c>
      <c r="GE65" s="79" t="s">
        <v>338</v>
      </c>
      <c r="GF65" s="79" t="s">
        <v>338</v>
      </c>
      <c r="GG65" s="79" t="s">
        <v>338</v>
      </c>
      <c r="GH65" s="79" t="s">
        <v>338</v>
      </c>
      <c r="GI65" s="79" t="s">
        <v>338</v>
      </c>
      <c r="GJ65" s="79" t="s">
        <v>338</v>
      </c>
      <c r="GK65" s="79" t="s">
        <v>338</v>
      </c>
      <c r="GL65" s="79" t="s">
        <v>338</v>
      </c>
    </row>
    <row r="66" spans="1:194" ht="14.25" customHeight="1" x14ac:dyDescent="0.35">
      <c r="A66" s="65"/>
      <c r="B66" s="75"/>
      <c r="C66" s="76" t="s">
        <v>405</v>
      </c>
      <c r="D66" s="83">
        <v>-46168.970736761825</v>
      </c>
      <c r="E66" s="83">
        <v>-46168.970736761825</v>
      </c>
      <c r="F66" s="83">
        <v>-46168.970736761825</v>
      </c>
      <c r="G66" s="83">
        <v>-46168.970736761825</v>
      </c>
      <c r="H66" s="83">
        <v>-46168.970736761825</v>
      </c>
      <c r="I66" s="83">
        <v>-46168.970736761825</v>
      </c>
      <c r="J66" s="83">
        <v>-46168.970736761825</v>
      </c>
      <c r="K66" s="83">
        <v>-46168.970736761825</v>
      </c>
      <c r="L66" s="83">
        <v>-46168.970736761825</v>
      </c>
      <c r="M66" s="83">
        <v>-46168.970736761825</v>
      </c>
      <c r="N66" s="83">
        <v>-46168.970736761825</v>
      </c>
      <c r="O66" s="83">
        <v>-46168.970736761825</v>
      </c>
      <c r="P66" s="66"/>
      <c r="Q66" s="66"/>
      <c r="R66" s="78" t="str">
        <f t="shared" si="1"/>
        <v>USD - Cuentas corrientes</v>
      </c>
      <c r="S66" s="79">
        <v>0</v>
      </c>
      <c r="T66" s="79">
        <v>0</v>
      </c>
      <c r="U66" s="79">
        <v>0</v>
      </c>
      <c r="V66" s="79">
        <v>0</v>
      </c>
      <c r="W66" s="79">
        <v>0</v>
      </c>
      <c r="X66" s="79">
        <v>0</v>
      </c>
      <c r="Y66" s="79">
        <v>0</v>
      </c>
      <c r="Z66" s="79">
        <v>0</v>
      </c>
      <c r="AA66" s="79">
        <v>0</v>
      </c>
      <c r="AB66" s="79">
        <v>0</v>
      </c>
      <c r="AC66" s="79">
        <v>0</v>
      </c>
      <c r="AD66" s="79">
        <v>0</v>
      </c>
      <c r="AE66" s="66"/>
      <c r="AF66" s="75"/>
      <c r="AG66" s="78" t="str">
        <f t="shared" si="2"/>
        <v>USD - Cuentas corrientes</v>
      </c>
      <c r="AH66" s="80">
        <v>0</v>
      </c>
      <c r="AI66" s="80">
        <v>0</v>
      </c>
      <c r="AJ66" s="80">
        <v>0</v>
      </c>
      <c r="AK66" s="80">
        <v>0</v>
      </c>
      <c r="AL66" s="80">
        <v>0</v>
      </c>
      <c r="AM66" s="80">
        <v>0</v>
      </c>
      <c r="AN66" s="80">
        <v>0</v>
      </c>
      <c r="AO66" s="80">
        <v>0</v>
      </c>
      <c r="AP66" s="80">
        <v>0</v>
      </c>
      <c r="AQ66" s="80">
        <v>0</v>
      </c>
      <c r="AR66" s="80">
        <v>0</v>
      </c>
      <c r="AS66" s="80">
        <v>0</v>
      </c>
      <c r="AT66" s="66"/>
      <c r="AU66" s="76"/>
      <c r="AV66" s="78" t="str">
        <f t="shared" si="3"/>
        <v>USD - Cuentas corrientes</v>
      </c>
      <c r="AW66" s="80">
        <v>0</v>
      </c>
      <c r="AX66" s="80">
        <v>0</v>
      </c>
      <c r="AY66" s="80">
        <v>0</v>
      </c>
      <c r="AZ66" s="80">
        <v>0</v>
      </c>
      <c r="BA66" s="80">
        <v>0</v>
      </c>
      <c r="BB66" s="80">
        <v>0</v>
      </c>
      <c r="BC66" s="80">
        <v>0</v>
      </c>
      <c r="BD66" s="80">
        <v>0</v>
      </c>
      <c r="BE66" s="80">
        <v>0</v>
      </c>
      <c r="BF66" s="80">
        <v>0</v>
      </c>
      <c r="BG66" s="80">
        <v>0</v>
      </c>
      <c r="BH66" s="80">
        <v>0</v>
      </c>
      <c r="BI66" s="66"/>
      <c r="BJ66" s="76"/>
      <c r="BK66" s="78" t="str">
        <f t="shared" si="4"/>
        <v>USD - Cuentas corrientes</v>
      </c>
      <c r="BL66" s="81" t="s">
        <v>338</v>
      </c>
      <c r="BM66" s="81" t="s">
        <v>338</v>
      </c>
      <c r="BN66" s="81" t="s">
        <v>338</v>
      </c>
      <c r="BO66" s="81" t="s">
        <v>338</v>
      </c>
      <c r="BP66" s="81" t="s">
        <v>338</v>
      </c>
      <c r="BQ66" s="81" t="s">
        <v>338</v>
      </c>
      <c r="BR66" s="81" t="s">
        <v>338</v>
      </c>
      <c r="BS66" s="81" t="s">
        <v>338</v>
      </c>
      <c r="BT66" s="81" t="s">
        <v>338</v>
      </c>
      <c r="BU66" s="81" t="s">
        <v>338</v>
      </c>
      <c r="BV66" s="81" t="s">
        <v>338</v>
      </c>
      <c r="BW66" s="81" t="s">
        <v>338</v>
      </c>
      <c r="BX66" s="66"/>
      <c r="BY66" s="76"/>
      <c r="BZ66" s="78" t="str">
        <f t="shared" si="5"/>
        <v>USD - Cuentas corrientes</v>
      </c>
      <c r="CA66" s="79">
        <v>1</v>
      </c>
      <c r="CB66" s="79">
        <v>1</v>
      </c>
      <c r="CC66" s="79">
        <v>1</v>
      </c>
      <c r="CD66" s="79">
        <v>1</v>
      </c>
      <c r="CE66" s="79">
        <v>1</v>
      </c>
      <c r="CF66" s="79">
        <v>1</v>
      </c>
      <c r="CG66" s="79">
        <v>1</v>
      </c>
      <c r="CH66" s="79">
        <v>1</v>
      </c>
      <c r="CI66" s="79">
        <v>1</v>
      </c>
      <c r="CJ66" s="79">
        <v>1</v>
      </c>
      <c r="CK66" s="79">
        <v>1</v>
      </c>
      <c r="CL66" s="79">
        <v>1</v>
      </c>
      <c r="CM66" s="66"/>
      <c r="CN66" s="76"/>
      <c r="CO66" s="78" t="str">
        <f t="shared" si="6"/>
        <v>USD - Cuentas corrientes</v>
      </c>
      <c r="CP66" s="79">
        <v>0</v>
      </c>
      <c r="CQ66" s="79">
        <v>0</v>
      </c>
      <c r="CR66" s="79">
        <v>0</v>
      </c>
      <c r="CS66" s="79">
        <v>0</v>
      </c>
      <c r="CT66" s="79">
        <v>0</v>
      </c>
      <c r="CU66" s="79">
        <v>0</v>
      </c>
      <c r="CV66" s="79">
        <v>0</v>
      </c>
      <c r="CW66" s="79">
        <v>0</v>
      </c>
      <c r="CX66" s="79">
        <v>0</v>
      </c>
      <c r="CY66" s="79">
        <v>0</v>
      </c>
      <c r="CZ66" s="79">
        <v>0</v>
      </c>
      <c r="DA66" s="79">
        <v>0</v>
      </c>
      <c r="DB66" s="66"/>
      <c r="DC66" s="66"/>
      <c r="DD66" s="78" t="str">
        <f t="shared" si="7"/>
        <v>USD - Cuentas corrientes</v>
      </c>
      <c r="DE66" s="79">
        <v>0</v>
      </c>
      <c r="DF66" s="79">
        <v>0</v>
      </c>
      <c r="DG66" s="79">
        <v>0</v>
      </c>
      <c r="DH66" s="79">
        <v>0</v>
      </c>
      <c r="DI66" s="79">
        <v>0</v>
      </c>
      <c r="DJ66" s="79">
        <v>0</v>
      </c>
      <c r="DK66" s="79">
        <v>0</v>
      </c>
      <c r="DL66" s="79">
        <v>0</v>
      </c>
      <c r="DM66" s="79">
        <v>0</v>
      </c>
      <c r="DN66" s="79">
        <v>0</v>
      </c>
      <c r="DO66" s="79">
        <v>0</v>
      </c>
      <c r="DP66" s="79">
        <v>0</v>
      </c>
      <c r="DQ66" s="66"/>
      <c r="DR66" s="76"/>
      <c r="DS66" s="78" t="str">
        <f t="shared" si="8"/>
        <v>USD - Cuentas corrientes</v>
      </c>
      <c r="DT66" s="79">
        <v>0</v>
      </c>
      <c r="DU66" s="79">
        <v>0</v>
      </c>
      <c r="DV66" s="79">
        <v>0</v>
      </c>
      <c r="DW66" s="79">
        <v>0</v>
      </c>
      <c r="DX66" s="79">
        <v>0</v>
      </c>
      <c r="DY66" s="79">
        <v>0</v>
      </c>
      <c r="DZ66" s="79">
        <v>0</v>
      </c>
      <c r="EA66" s="79">
        <v>0</v>
      </c>
      <c r="EB66" s="79">
        <v>0</v>
      </c>
      <c r="EC66" s="79">
        <v>0</v>
      </c>
      <c r="ED66" s="79">
        <v>0</v>
      </c>
      <c r="EE66" s="79">
        <v>0</v>
      </c>
      <c r="EF66" s="66"/>
      <c r="EG66" s="76"/>
      <c r="EH66" s="78" t="str">
        <f t="shared" si="9"/>
        <v>USD - Cuentas corrientes</v>
      </c>
      <c r="EI66" s="79">
        <v>0</v>
      </c>
      <c r="EJ66" s="79">
        <v>0</v>
      </c>
      <c r="EK66" s="79">
        <v>0</v>
      </c>
      <c r="EL66" s="79">
        <v>0</v>
      </c>
      <c r="EM66" s="79">
        <v>0</v>
      </c>
      <c r="EN66" s="79">
        <v>0</v>
      </c>
      <c r="EO66" s="79">
        <v>0</v>
      </c>
      <c r="EP66" s="79">
        <v>0</v>
      </c>
      <c r="EQ66" s="79">
        <v>0</v>
      </c>
      <c r="ER66" s="79">
        <v>0</v>
      </c>
      <c r="ES66" s="79">
        <v>0</v>
      </c>
      <c r="ET66" s="79">
        <v>0</v>
      </c>
      <c r="EU66" s="66"/>
      <c r="EV66" s="66"/>
      <c r="EW66" s="66"/>
      <c r="EX66" s="66"/>
      <c r="EY66" s="66"/>
      <c r="EZ66" s="66"/>
      <c r="FA66" s="66"/>
      <c r="FB66" s="66"/>
      <c r="FC66" s="66"/>
      <c r="FD66" s="66"/>
      <c r="FE66" s="66"/>
      <c r="FF66" s="66"/>
      <c r="FG66" s="66"/>
      <c r="FH66" s="66"/>
      <c r="FI66" s="66"/>
      <c r="FJ66" s="76"/>
      <c r="FK66" s="78" t="str">
        <f t="shared" si="10"/>
        <v>USD - Cuentas corrientes</v>
      </c>
      <c r="FL66" s="79">
        <v>0</v>
      </c>
      <c r="FM66" s="79">
        <v>0</v>
      </c>
      <c r="FN66" s="79">
        <v>0</v>
      </c>
      <c r="FO66" s="79">
        <v>0</v>
      </c>
      <c r="FP66" s="79">
        <v>0</v>
      </c>
      <c r="FQ66" s="79">
        <v>0</v>
      </c>
      <c r="FR66" s="79">
        <v>0</v>
      </c>
      <c r="FS66" s="79">
        <v>0</v>
      </c>
      <c r="FT66" s="79">
        <v>0</v>
      </c>
      <c r="FU66" s="79">
        <v>0</v>
      </c>
      <c r="FV66" s="79">
        <v>0</v>
      </c>
      <c r="FW66" s="79">
        <v>0</v>
      </c>
      <c r="FX66" s="66"/>
      <c r="FY66" s="76"/>
      <c r="FZ66" s="78" t="str">
        <f t="shared" si="11"/>
        <v>USD - Cuentas corrientes</v>
      </c>
      <c r="GA66" s="79" t="s">
        <v>338</v>
      </c>
      <c r="GB66" s="79" t="s">
        <v>338</v>
      </c>
      <c r="GC66" s="79" t="s">
        <v>338</v>
      </c>
      <c r="GD66" s="79" t="s">
        <v>338</v>
      </c>
      <c r="GE66" s="79" t="s">
        <v>338</v>
      </c>
      <c r="GF66" s="79" t="s">
        <v>338</v>
      </c>
      <c r="GG66" s="79" t="s">
        <v>338</v>
      </c>
      <c r="GH66" s="79" t="s">
        <v>338</v>
      </c>
      <c r="GI66" s="79" t="s">
        <v>338</v>
      </c>
      <c r="GJ66" s="79" t="s">
        <v>338</v>
      </c>
      <c r="GK66" s="79" t="s">
        <v>338</v>
      </c>
      <c r="GL66" s="79" t="s">
        <v>338</v>
      </c>
    </row>
    <row r="67" spans="1:194" ht="14.25" customHeight="1" x14ac:dyDescent="0.35">
      <c r="A67" s="65"/>
      <c r="B67" s="75"/>
      <c r="C67" s="76" t="s">
        <v>406</v>
      </c>
      <c r="D67" s="83">
        <v>-10189.187481548515</v>
      </c>
      <c r="E67" s="83">
        <v>-10189.187481548515</v>
      </c>
      <c r="F67" s="83">
        <v>-10189.187481548515</v>
      </c>
      <c r="G67" s="83">
        <v>-10189.187481548515</v>
      </c>
      <c r="H67" s="83">
        <v>-10189.187481548515</v>
      </c>
      <c r="I67" s="83">
        <v>-10189.187481548515</v>
      </c>
      <c r="J67" s="83">
        <v>-10189.187481548515</v>
      </c>
      <c r="K67" s="83">
        <v>-10189.187481548515</v>
      </c>
      <c r="L67" s="83">
        <v>-10189.187481548515</v>
      </c>
      <c r="M67" s="83">
        <v>-10189.187481548515</v>
      </c>
      <c r="N67" s="83">
        <v>-10189.187481548515</v>
      </c>
      <c r="O67" s="83">
        <v>-10189.187481548515</v>
      </c>
      <c r="P67" s="66"/>
      <c r="Q67" s="66"/>
      <c r="R67" s="78" t="str">
        <f t="shared" si="1"/>
        <v>USD - Cuentas de ahorro</v>
      </c>
      <c r="S67" s="79">
        <v>0</v>
      </c>
      <c r="T67" s="79">
        <v>0</v>
      </c>
      <c r="U67" s="79">
        <v>0</v>
      </c>
      <c r="V67" s="79">
        <v>0</v>
      </c>
      <c r="W67" s="79">
        <v>0</v>
      </c>
      <c r="X67" s="79">
        <v>0</v>
      </c>
      <c r="Y67" s="79">
        <v>0</v>
      </c>
      <c r="Z67" s="79">
        <v>0</v>
      </c>
      <c r="AA67" s="79">
        <v>0</v>
      </c>
      <c r="AB67" s="79">
        <v>0</v>
      </c>
      <c r="AC67" s="79">
        <v>0</v>
      </c>
      <c r="AD67" s="79">
        <v>0</v>
      </c>
      <c r="AE67" s="66"/>
      <c r="AF67" s="75"/>
      <c r="AG67" s="78" t="str">
        <f t="shared" si="2"/>
        <v>USD - Cuentas de ahorro</v>
      </c>
      <c r="AH67" s="80">
        <v>0</v>
      </c>
      <c r="AI67" s="80">
        <v>0</v>
      </c>
      <c r="AJ67" s="80">
        <v>0</v>
      </c>
      <c r="AK67" s="80">
        <v>0</v>
      </c>
      <c r="AL67" s="80">
        <v>0</v>
      </c>
      <c r="AM67" s="80">
        <v>0</v>
      </c>
      <c r="AN67" s="80">
        <v>0</v>
      </c>
      <c r="AO67" s="80">
        <v>0</v>
      </c>
      <c r="AP67" s="80">
        <v>0</v>
      </c>
      <c r="AQ67" s="80">
        <v>0</v>
      </c>
      <c r="AR67" s="80">
        <v>0</v>
      </c>
      <c r="AS67" s="80">
        <v>0</v>
      </c>
      <c r="AT67" s="66"/>
      <c r="AU67" s="76"/>
      <c r="AV67" s="78" t="str">
        <f t="shared" si="3"/>
        <v>USD - Cuentas de ahorro</v>
      </c>
      <c r="AW67" s="80">
        <v>0</v>
      </c>
      <c r="AX67" s="80">
        <v>0</v>
      </c>
      <c r="AY67" s="80">
        <v>0</v>
      </c>
      <c r="AZ67" s="80">
        <v>0</v>
      </c>
      <c r="BA67" s="80">
        <v>0</v>
      </c>
      <c r="BB67" s="80">
        <v>0</v>
      </c>
      <c r="BC67" s="80">
        <v>0</v>
      </c>
      <c r="BD67" s="80">
        <v>0</v>
      </c>
      <c r="BE67" s="80">
        <v>0</v>
      </c>
      <c r="BF67" s="80">
        <v>0</v>
      </c>
      <c r="BG67" s="80">
        <v>0</v>
      </c>
      <c r="BH67" s="80">
        <v>0</v>
      </c>
      <c r="BI67" s="66"/>
      <c r="BJ67" s="76"/>
      <c r="BK67" s="78" t="str">
        <f t="shared" si="4"/>
        <v>USD - Cuentas de ahorro</v>
      </c>
      <c r="BL67" s="81" t="s">
        <v>338</v>
      </c>
      <c r="BM67" s="81" t="s">
        <v>338</v>
      </c>
      <c r="BN67" s="81" t="s">
        <v>338</v>
      </c>
      <c r="BO67" s="81" t="s">
        <v>338</v>
      </c>
      <c r="BP67" s="81" t="s">
        <v>338</v>
      </c>
      <c r="BQ67" s="81" t="s">
        <v>338</v>
      </c>
      <c r="BR67" s="81" t="s">
        <v>338</v>
      </c>
      <c r="BS67" s="81" t="s">
        <v>338</v>
      </c>
      <c r="BT67" s="81" t="s">
        <v>338</v>
      </c>
      <c r="BU67" s="81" t="s">
        <v>338</v>
      </c>
      <c r="BV67" s="81" t="s">
        <v>338</v>
      </c>
      <c r="BW67" s="81" t="s">
        <v>338</v>
      </c>
      <c r="BX67" s="66"/>
      <c r="BY67" s="76"/>
      <c r="BZ67" s="78" t="str">
        <f t="shared" si="5"/>
        <v>USD - Cuentas de ahorro</v>
      </c>
      <c r="CA67" s="79">
        <v>1</v>
      </c>
      <c r="CB67" s="79">
        <v>1</v>
      </c>
      <c r="CC67" s="79">
        <v>1</v>
      </c>
      <c r="CD67" s="79">
        <v>1</v>
      </c>
      <c r="CE67" s="79">
        <v>1</v>
      </c>
      <c r="CF67" s="79">
        <v>1</v>
      </c>
      <c r="CG67" s="79">
        <v>1</v>
      </c>
      <c r="CH67" s="79">
        <v>1</v>
      </c>
      <c r="CI67" s="79">
        <v>1</v>
      </c>
      <c r="CJ67" s="79">
        <v>1</v>
      </c>
      <c r="CK67" s="79">
        <v>1</v>
      </c>
      <c r="CL67" s="79">
        <v>1</v>
      </c>
      <c r="CM67" s="66"/>
      <c r="CN67" s="76"/>
      <c r="CO67" s="78" t="str">
        <f t="shared" si="6"/>
        <v>USD - Cuentas de ahorro</v>
      </c>
      <c r="CP67" s="79">
        <v>0</v>
      </c>
      <c r="CQ67" s="79">
        <v>0</v>
      </c>
      <c r="CR67" s="79">
        <v>0</v>
      </c>
      <c r="CS67" s="79">
        <v>0</v>
      </c>
      <c r="CT67" s="79">
        <v>0</v>
      </c>
      <c r="CU67" s="79">
        <v>0</v>
      </c>
      <c r="CV67" s="79">
        <v>0</v>
      </c>
      <c r="CW67" s="79">
        <v>0</v>
      </c>
      <c r="CX67" s="79">
        <v>0</v>
      </c>
      <c r="CY67" s="79">
        <v>0</v>
      </c>
      <c r="CZ67" s="79">
        <v>0</v>
      </c>
      <c r="DA67" s="79">
        <v>0</v>
      </c>
      <c r="DB67" s="66"/>
      <c r="DC67" s="66"/>
      <c r="DD67" s="78" t="str">
        <f t="shared" si="7"/>
        <v>USD - Cuentas de ahorro</v>
      </c>
      <c r="DE67" s="79">
        <v>0</v>
      </c>
      <c r="DF67" s="79">
        <v>0</v>
      </c>
      <c r="DG67" s="79">
        <v>0</v>
      </c>
      <c r="DH67" s="79">
        <v>0</v>
      </c>
      <c r="DI67" s="79">
        <v>0</v>
      </c>
      <c r="DJ67" s="79">
        <v>0</v>
      </c>
      <c r="DK67" s="79">
        <v>0</v>
      </c>
      <c r="DL67" s="79">
        <v>0</v>
      </c>
      <c r="DM67" s="79">
        <v>0</v>
      </c>
      <c r="DN67" s="79">
        <v>0</v>
      </c>
      <c r="DO67" s="79">
        <v>0</v>
      </c>
      <c r="DP67" s="79">
        <v>0</v>
      </c>
      <c r="DQ67" s="66"/>
      <c r="DR67" s="76"/>
      <c r="DS67" s="78" t="str">
        <f t="shared" si="8"/>
        <v>USD - Cuentas de ahorro</v>
      </c>
      <c r="DT67" s="79">
        <v>0</v>
      </c>
      <c r="DU67" s="79">
        <v>0</v>
      </c>
      <c r="DV67" s="79">
        <v>0</v>
      </c>
      <c r="DW67" s="79">
        <v>0</v>
      </c>
      <c r="DX67" s="79">
        <v>0</v>
      </c>
      <c r="DY67" s="79">
        <v>0</v>
      </c>
      <c r="DZ67" s="79">
        <v>0</v>
      </c>
      <c r="EA67" s="79">
        <v>0</v>
      </c>
      <c r="EB67" s="79">
        <v>0</v>
      </c>
      <c r="EC67" s="79">
        <v>0</v>
      </c>
      <c r="ED67" s="79">
        <v>0</v>
      </c>
      <c r="EE67" s="79">
        <v>0</v>
      </c>
      <c r="EF67" s="66"/>
      <c r="EG67" s="76"/>
      <c r="EH67" s="78" t="str">
        <f t="shared" si="9"/>
        <v>USD - Cuentas de ahorro</v>
      </c>
      <c r="EI67" s="79">
        <v>0</v>
      </c>
      <c r="EJ67" s="79">
        <v>0</v>
      </c>
      <c r="EK67" s="79">
        <v>0</v>
      </c>
      <c r="EL67" s="79">
        <v>0</v>
      </c>
      <c r="EM67" s="79">
        <v>0</v>
      </c>
      <c r="EN67" s="79">
        <v>0</v>
      </c>
      <c r="EO67" s="79">
        <v>0</v>
      </c>
      <c r="EP67" s="79">
        <v>0</v>
      </c>
      <c r="EQ67" s="79">
        <v>0</v>
      </c>
      <c r="ER67" s="79">
        <v>0</v>
      </c>
      <c r="ES67" s="79">
        <v>0</v>
      </c>
      <c r="ET67" s="79">
        <v>0</v>
      </c>
      <c r="EU67" s="66"/>
      <c r="EV67" s="66"/>
      <c r="EW67" s="66"/>
      <c r="EX67" s="66"/>
      <c r="EY67" s="66"/>
      <c r="EZ67" s="66"/>
      <c r="FA67" s="66"/>
      <c r="FB67" s="66"/>
      <c r="FC67" s="66"/>
      <c r="FD67" s="66"/>
      <c r="FE67" s="66"/>
      <c r="FF67" s="66"/>
      <c r="FG67" s="66"/>
      <c r="FH67" s="66"/>
      <c r="FI67" s="66"/>
      <c r="FJ67" s="76"/>
      <c r="FK67" s="78" t="str">
        <f t="shared" si="10"/>
        <v>USD - Cuentas de ahorro</v>
      </c>
      <c r="FL67" s="79">
        <v>0</v>
      </c>
      <c r="FM67" s="79">
        <v>0</v>
      </c>
      <c r="FN67" s="79">
        <v>0</v>
      </c>
      <c r="FO67" s="79">
        <v>0</v>
      </c>
      <c r="FP67" s="79">
        <v>0</v>
      </c>
      <c r="FQ67" s="79">
        <v>0</v>
      </c>
      <c r="FR67" s="79">
        <v>0</v>
      </c>
      <c r="FS67" s="79">
        <v>0</v>
      </c>
      <c r="FT67" s="79">
        <v>0</v>
      </c>
      <c r="FU67" s="79">
        <v>0</v>
      </c>
      <c r="FV67" s="79">
        <v>0</v>
      </c>
      <c r="FW67" s="79">
        <v>0</v>
      </c>
      <c r="FX67" s="66"/>
      <c r="FY67" s="76"/>
      <c r="FZ67" s="78" t="str">
        <f t="shared" si="11"/>
        <v>USD - Cuentas de ahorro</v>
      </c>
      <c r="GA67" s="79" t="s">
        <v>338</v>
      </c>
      <c r="GB67" s="79" t="s">
        <v>338</v>
      </c>
      <c r="GC67" s="79" t="s">
        <v>338</v>
      </c>
      <c r="GD67" s="79" t="s">
        <v>338</v>
      </c>
      <c r="GE67" s="79" t="s">
        <v>338</v>
      </c>
      <c r="GF67" s="79" t="s">
        <v>338</v>
      </c>
      <c r="GG67" s="79" t="s">
        <v>338</v>
      </c>
      <c r="GH67" s="79" t="s">
        <v>338</v>
      </c>
      <c r="GI67" s="79" t="s">
        <v>338</v>
      </c>
      <c r="GJ67" s="79" t="s">
        <v>338</v>
      </c>
      <c r="GK67" s="79" t="s">
        <v>338</v>
      </c>
      <c r="GL67" s="79" t="s">
        <v>338</v>
      </c>
    </row>
    <row r="68" spans="1:194" ht="14.25" customHeight="1" x14ac:dyDescent="0.35">
      <c r="A68" s="65"/>
      <c r="B68" s="75"/>
      <c r="C68" s="76" t="s">
        <v>407</v>
      </c>
      <c r="D68" s="83">
        <v>-11256.427694240756</v>
      </c>
      <c r="E68" s="83">
        <v>-11256.427694240756</v>
      </c>
      <c r="F68" s="83">
        <v>-11256.427694240756</v>
      </c>
      <c r="G68" s="83">
        <v>-11256.427694240756</v>
      </c>
      <c r="H68" s="83">
        <v>-11256.427694240756</v>
      </c>
      <c r="I68" s="83">
        <v>-11256.427694240756</v>
      </c>
      <c r="J68" s="83">
        <v>-11256.427694240756</v>
      </c>
      <c r="K68" s="83">
        <v>-11256.427694240756</v>
      </c>
      <c r="L68" s="83">
        <v>-11256.427694240756</v>
      </c>
      <c r="M68" s="83">
        <v>-11256.427694240756</v>
      </c>
      <c r="N68" s="83">
        <v>-11256.427694240756</v>
      </c>
      <c r="O68" s="83">
        <v>-11256.427694240756</v>
      </c>
      <c r="P68" s="66"/>
      <c r="Q68" s="66"/>
      <c r="R68" s="78" t="str">
        <f t="shared" si="1"/>
        <v>USD - Imposiciones negocio</v>
      </c>
      <c r="S68" s="79">
        <v>0</v>
      </c>
      <c r="T68" s="79">
        <v>0</v>
      </c>
      <c r="U68" s="79">
        <v>0</v>
      </c>
      <c r="V68" s="79">
        <v>0</v>
      </c>
      <c r="W68" s="79">
        <v>0</v>
      </c>
      <c r="X68" s="79">
        <v>0</v>
      </c>
      <c r="Y68" s="79">
        <v>0</v>
      </c>
      <c r="Z68" s="79">
        <v>0</v>
      </c>
      <c r="AA68" s="79">
        <v>0</v>
      </c>
      <c r="AB68" s="79">
        <v>0</v>
      </c>
      <c r="AC68" s="79">
        <v>0</v>
      </c>
      <c r="AD68" s="79">
        <v>0</v>
      </c>
      <c r="AE68" s="66"/>
      <c r="AF68" s="75"/>
      <c r="AG68" s="78" t="str">
        <f t="shared" si="2"/>
        <v>USD - Imposiciones negocio</v>
      </c>
      <c r="AH68" s="80">
        <v>-2.5000000000000001E-2</v>
      </c>
      <c r="AI68" s="80">
        <v>-2.5000000000000001E-2</v>
      </c>
      <c r="AJ68" s="80">
        <v>-2.5000000000000001E-2</v>
      </c>
      <c r="AK68" s="80">
        <v>-2.5000000000000001E-2</v>
      </c>
      <c r="AL68" s="80">
        <v>-2.5000000000000001E-2</v>
      </c>
      <c r="AM68" s="80">
        <v>-2.5000000000000001E-2</v>
      </c>
      <c r="AN68" s="80">
        <v>-2.5000000000000001E-2</v>
      </c>
      <c r="AO68" s="80">
        <v>-2.5000000000000001E-2</v>
      </c>
      <c r="AP68" s="80">
        <v>-2.5000000000000001E-2</v>
      </c>
      <c r="AQ68" s="80">
        <v>-2.5000000000000001E-2</v>
      </c>
      <c r="AR68" s="80">
        <v>-2.5000000000000001E-2</v>
      </c>
      <c r="AS68" s="80">
        <v>-2.5000000000000001E-2</v>
      </c>
      <c r="AT68" s="66"/>
      <c r="AU68" s="76"/>
      <c r="AV68" s="78" t="str">
        <f t="shared" si="3"/>
        <v>USD - Imposiciones negocio</v>
      </c>
      <c r="AW68" s="80">
        <v>0</v>
      </c>
      <c r="AX68" s="80">
        <v>0</v>
      </c>
      <c r="AY68" s="80">
        <v>0</v>
      </c>
      <c r="AZ68" s="80">
        <v>0</v>
      </c>
      <c r="BA68" s="80">
        <v>0</v>
      </c>
      <c r="BB68" s="80">
        <v>0</v>
      </c>
      <c r="BC68" s="80">
        <v>0</v>
      </c>
      <c r="BD68" s="80">
        <v>0</v>
      </c>
      <c r="BE68" s="80">
        <v>0</v>
      </c>
      <c r="BF68" s="80">
        <v>0</v>
      </c>
      <c r="BG68" s="80">
        <v>0</v>
      </c>
      <c r="BH68" s="80">
        <v>0</v>
      </c>
      <c r="BI68" s="66"/>
      <c r="BJ68" s="76"/>
      <c r="BK68" s="78" t="str">
        <f t="shared" si="4"/>
        <v>USD - Imposiciones negocio</v>
      </c>
      <c r="BL68" s="81" t="s">
        <v>338</v>
      </c>
      <c r="BM68" s="81" t="s">
        <v>338</v>
      </c>
      <c r="BN68" s="81" t="s">
        <v>338</v>
      </c>
      <c r="BO68" s="81" t="s">
        <v>338</v>
      </c>
      <c r="BP68" s="81" t="s">
        <v>338</v>
      </c>
      <c r="BQ68" s="81" t="s">
        <v>338</v>
      </c>
      <c r="BR68" s="81" t="s">
        <v>338</v>
      </c>
      <c r="BS68" s="81" t="s">
        <v>338</v>
      </c>
      <c r="BT68" s="81" t="s">
        <v>338</v>
      </c>
      <c r="BU68" s="81" t="s">
        <v>338</v>
      </c>
      <c r="BV68" s="81" t="s">
        <v>338</v>
      </c>
      <c r="BW68" s="81" t="s">
        <v>338</v>
      </c>
      <c r="BX68" s="66"/>
      <c r="BY68" s="76"/>
      <c r="BZ68" s="78" t="str">
        <f t="shared" si="5"/>
        <v>USD - Imposiciones negocio</v>
      </c>
      <c r="CA68" s="79">
        <v>1</v>
      </c>
      <c r="CB68" s="79">
        <v>1</v>
      </c>
      <c r="CC68" s="79">
        <v>1</v>
      </c>
      <c r="CD68" s="79">
        <v>1</v>
      </c>
      <c r="CE68" s="79">
        <v>1</v>
      </c>
      <c r="CF68" s="79">
        <v>1</v>
      </c>
      <c r="CG68" s="79">
        <v>1</v>
      </c>
      <c r="CH68" s="79">
        <v>1</v>
      </c>
      <c r="CI68" s="79">
        <v>1</v>
      </c>
      <c r="CJ68" s="79">
        <v>1</v>
      </c>
      <c r="CK68" s="79">
        <v>1</v>
      </c>
      <c r="CL68" s="79">
        <v>1</v>
      </c>
      <c r="CM68" s="66"/>
      <c r="CN68" s="76"/>
      <c r="CO68" s="78" t="str">
        <f t="shared" si="6"/>
        <v>USD - Imposiciones negocio</v>
      </c>
      <c r="CP68" s="79">
        <v>0</v>
      </c>
      <c r="CQ68" s="79">
        <v>0</v>
      </c>
      <c r="CR68" s="79">
        <v>0</v>
      </c>
      <c r="CS68" s="79">
        <v>0</v>
      </c>
      <c r="CT68" s="79">
        <v>0</v>
      </c>
      <c r="CU68" s="79">
        <v>0</v>
      </c>
      <c r="CV68" s="79">
        <v>0</v>
      </c>
      <c r="CW68" s="79">
        <v>0</v>
      </c>
      <c r="CX68" s="79">
        <v>0</v>
      </c>
      <c r="CY68" s="79">
        <v>0</v>
      </c>
      <c r="CZ68" s="79">
        <v>0</v>
      </c>
      <c r="DA68" s="79">
        <v>0</v>
      </c>
      <c r="DB68" s="66"/>
      <c r="DC68" s="66"/>
      <c r="DD68" s="78" t="str">
        <f t="shared" si="7"/>
        <v>USD - Imposiciones negocio</v>
      </c>
      <c r="DE68" s="79">
        <v>0</v>
      </c>
      <c r="DF68" s="79">
        <v>0</v>
      </c>
      <c r="DG68" s="79">
        <v>0</v>
      </c>
      <c r="DH68" s="79">
        <v>0</v>
      </c>
      <c r="DI68" s="79">
        <v>0</v>
      </c>
      <c r="DJ68" s="79">
        <v>0</v>
      </c>
      <c r="DK68" s="79">
        <v>0</v>
      </c>
      <c r="DL68" s="79">
        <v>0</v>
      </c>
      <c r="DM68" s="79">
        <v>0</v>
      </c>
      <c r="DN68" s="79">
        <v>0</v>
      </c>
      <c r="DO68" s="79">
        <v>0</v>
      </c>
      <c r="DP68" s="79">
        <v>0</v>
      </c>
      <c r="DQ68" s="66"/>
      <c r="DR68" s="76"/>
      <c r="DS68" s="78" t="str">
        <f t="shared" si="8"/>
        <v>USD - Imposiciones negocio</v>
      </c>
      <c r="DT68" s="79">
        <v>0</v>
      </c>
      <c r="DU68" s="79">
        <v>0</v>
      </c>
      <c r="DV68" s="79">
        <v>0</v>
      </c>
      <c r="DW68" s="79">
        <v>0</v>
      </c>
      <c r="DX68" s="79">
        <v>0</v>
      </c>
      <c r="DY68" s="79">
        <v>0</v>
      </c>
      <c r="DZ68" s="79">
        <v>0</v>
      </c>
      <c r="EA68" s="79">
        <v>0</v>
      </c>
      <c r="EB68" s="79">
        <v>0</v>
      </c>
      <c r="EC68" s="79">
        <v>0</v>
      </c>
      <c r="ED68" s="79">
        <v>0</v>
      </c>
      <c r="EE68" s="79">
        <v>0</v>
      </c>
      <c r="EF68" s="66"/>
      <c r="EG68" s="76"/>
      <c r="EH68" s="78" t="str">
        <f t="shared" si="9"/>
        <v>USD - Imposiciones negocio</v>
      </c>
      <c r="EI68" s="79">
        <v>0</v>
      </c>
      <c r="EJ68" s="79">
        <v>0</v>
      </c>
      <c r="EK68" s="79">
        <v>0</v>
      </c>
      <c r="EL68" s="79">
        <v>0</v>
      </c>
      <c r="EM68" s="79">
        <v>0</v>
      </c>
      <c r="EN68" s="79">
        <v>0</v>
      </c>
      <c r="EO68" s="79">
        <v>0</v>
      </c>
      <c r="EP68" s="79">
        <v>0</v>
      </c>
      <c r="EQ68" s="79">
        <v>0</v>
      </c>
      <c r="ER68" s="79">
        <v>0</v>
      </c>
      <c r="ES68" s="79">
        <v>0</v>
      </c>
      <c r="ET68" s="79">
        <v>0</v>
      </c>
      <c r="EU68" s="66"/>
      <c r="EV68" s="66"/>
      <c r="EW68" s="66"/>
      <c r="EX68" s="66"/>
      <c r="EY68" s="66"/>
      <c r="EZ68" s="66"/>
      <c r="FA68" s="66"/>
      <c r="FB68" s="66"/>
      <c r="FC68" s="66"/>
      <c r="FD68" s="66"/>
      <c r="FE68" s="66"/>
      <c r="FF68" s="66"/>
      <c r="FG68" s="66"/>
      <c r="FH68" s="66"/>
      <c r="FI68" s="66"/>
      <c r="FJ68" s="76"/>
      <c r="FK68" s="78" t="str">
        <f t="shared" si="10"/>
        <v>USD - Imposiciones negocio</v>
      </c>
      <c r="FL68" s="79">
        <v>0</v>
      </c>
      <c r="FM68" s="79">
        <v>0</v>
      </c>
      <c r="FN68" s="79">
        <v>0</v>
      </c>
      <c r="FO68" s="79">
        <v>0</v>
      </c>
      <c r="FP68" s="79">
        <v>0</v>
      </c>
      <c r="FQ68" s="79">
        <v>0</v>
      </c>
      <c r="FR68" s="79">
        <v>0</v>
      </c>
      <c r="FS68" s="79">
        <v>0</v>
      </c>
      <c r="FT68" s="79">
        <v>0</v>
      </c>
      <c r="FU68" s="79">
        <v>0</v>
      </c>
      <c r="FV68" s="79">
        <v>0</v>
      </c>
      <c r="FW68" s="79">
        <v>0</v>
      </c>
      <c r="FX68" s="66"/>
      <c r="FY68" s="76"/>
      <c r="FZ68" s="78" t="str">
        <f t="shared" si="11"/>
        <v>USD - Imposiciones negocio</v>
      </c>
      <c r="GA68" s="79" t="s">
        <v>338</v>
      </c>
      <c r="GB68" s="79" t="s">
        <v>338</v>
      </c>
      <c r="GC68" s="79" t="s">
        <v>338</v>
      </c>
      <c r="GD68" s="79" t="s">
        <v>338</v>
      </c>
      <c r="GE68" s="79" t="s">
        <v>338</v>
      </c>
      <c r="GF68" s="79" t="s">
        <v>338</v>
      </c>
      <c r="GG68" s="79" t="s">
        <v>338</v>
      </c>
      <c r="GH68" s="79" t="s">
        <v>338</v>
      </c>
      <c r="GI68" s="79" t="s">
        <v>338</v>
      </c>
      <c r="GJ68" s="79" t="s">
        <v>338</v>
      </c>
      <c r="GK68" s="79" t="s">
        <v>338</v>
      </c>
      <c r="GL68" s="79" t="s">
        <v>338</v>
      </c>
    </row>
    <row r="69" spans="1:194" ht="14.25" customHeight="1" x14ac:dyDescent="0.35">
      <c r="A69" s="65"/>
      <c r="B69" s="75"/>
      <c r="C69" s="76" t="s">
        <v>408</v>
      </c>
      <c r="D69" s="83">
        <v>0</v>
      </c>
      <c r="E69" s="83">
        <v>0</v>
      </c>
      <c r="F69" s="83">
        <v>0</v>
      </c>
      <c r="G69" s="83">
        <v>0</v>
      </c>
      <c r="H69" s="83">
        <v>0</v>
      </c>
      <c r="I69" s="83">
        <v>0</v>
      </c>
      <c r="J69" s="83">
        <v>0</v>
      </c>
      <c r="K69" s="83">
        <v>0</v>
      </c>
      <c r="L69" s="83">
        <v>0</v>
      </c>
      <c r="M69" s="83">
        <v>0</v>
      </c>
      <c r="N69" s="83">
        <v>0</v>
      </c>
      <c r="O69" s="83">
        <v>0</v>
      </c>
      <c r="P69" s="66"/>
      <c r="Q69" s="66"/>
      <c r="R69" s="78" t="str">
        <f t="shared" si="1"/>
        <v>USD - Otros vista</v>
      </c>
      <c r="S69" s="79">
        <v>0</v>
      </c>
      <c r="T69" s="79">
        <v>0</v>
      </c>
      <c r="U69" s="79">
        <v>0</v>
      </c>
      <c r="V69" s="79">
        <v>0</v>
      </c>
      <c r="W69" s="79">
        <v>0</v>
      </c>
      <c r="X69" s="79">
        <v>0</v>
      </c>
      <c r="Y69" s="79">
        <v>0</v>
      </c>
      <c r="Z69" s="79">
        <v>0</v>
      </c>
      <c r="AA69" s="79">
        <v>0</v>
      </c>
      <c r="AB69" s="79">
        <v>0</v>
      </c>
      <c r="AC69" s="79">
        <v>0</v>
      </c>
      <c r="AD69" s="79">
        <v>0</v>
      </c>
      <c r="AE69" s="66"/>
      <c r="AF69" s="75"/>
      <c r="AG69" s="78" t="str">
        <f t="shared" si="2"/>
        <v>USD - Otros vista</v>
      </c>
      <c r="AH69" s="80">
        <v>0</v>
      </c>
      <c r="AI69" s="80">
        <v>0</v>
      </c>
      <c r="AJ69" s="80">
        <v>0</v>
      </c>
      <c r="AK69" s="80">
        <v>0</v>
      </c>
      <c r="AL69" s="80">
        <v>0</v>
      </c>
      <c r="AM69" s="80">
        <v>0</v>
      </c>
      <c r="AN69" s="80">
        <v>0</v>
      </c>
      <c r="AO69" s="80">
        <v>0</v>
      </c>
      <c r="AP69" s="80">
        <v>0</v>
      </c>
      <c r="AQ69" s="80">
        <v>0</v>
      </c>
      <c r="AR69" s="80">
        <v>0</v>
      </c>
      <c r="AS69" s="80">
        <v>0</v>
      </c>
      <c r="AT69" s="66"/>
      <c r="AU69" s="76"/>
      <c r="AV69" s="78" t="str">
        <f t="shared" si="3"/>
        <v>USD - Otros vista</v>
      </c>
      <c r="AW69" s="80">
        <v>0</v>
      </c>
      <c r="AX69" s="80">
        <v>0</v>
      </c>
      <c r="AY69" s="80">
        <v>0</v>
      </c>
      <c r="AZ69" s="80">
        <v>0</v>
      </c>
      <c r="BA69" s="80">
        <v>0</v>
      </c>
      <c r="BB69" s="80">
        <v>0</v>
      </c>
      <c r="BC69" s="80">
        <v>0</v>
      </c>
      <c r="BD69" s="80">
        <v>0</v>
      </c>
      <c r="BE69" s="80">
        <v>0</v>
      </c>
      <c r="BF69" s="80">
        <v>0</v>
      </c>
      <c r="BG69" s="80">
        <v>0</v>
      </c>
      <c r="BH69" s="80">
        <v>0</v>
      </c>
      <c r="BI69" s="66"/>
      <c r="BJ69" s="76"/>
      <c r="BK69" s="78" t="str">
        <f t="shared" si="4"/>
        <v>USD - Otros vista</v>
      </c>
      <c r="BL69" s="81" t="s">
        <v>338</v>
      </c>
      <c r="BM69" s="81" t="s">
        <v>338</v>
      </c>
      <c r="BN69" s="81" t="s">
        <v>338</v>
      </c>
      <c r="BO69" s="81" t="s">
        <v>338</v>
      </c>
      <c r="BP69" s="81" t="s">
        <v>338</v>
      </c>
      <c r="BQ69" s="81" t="s">
        <v>338</v>
      </c>
      <c r="BR69" s="81" t="s">
        <v>338</v>
      </c>
      <c r="BS69" s="81" t="s">
        <v>338</v>
      </c>
      <c r="BT69" s="81" t="s">
        <v>338</v>
      </c>
      <c r="BU69" s="81" t="s">
        <v>338</v>
      </c>
      <c r="BV69" s="81" t="s">
        <v>338</v>
      </c>
      <c r="BW69" s="81" t="s">
        <v>338</v>
      </c>
      <c r="BX69" s="66"/>
      <c r="BY69" s="76"/>
      <c r="BZ69" s="78" t="str">
        <f t="shared" si="5"/>
        <v>USD - Otros vista</v>
      </c>
      <c r="CA69" s="79">
        <v>1</v>
      </c>
      <c r="CB69" s="79">
        <v>1</v>
      </c>
      <c r="CC69" s="79">
        <v>1</v>
      </c>
      <c r="CD69" s="79">
        <v>1</v>
      </c>
      <c r="CE69" s="79">
        <v>1</v>
      </c>
      <c r="CF69" s="79">
        <v>1</v>
      </c>
      <c r="CG69" s="79">
        <v>1</v>
      </c>
      <c r="CH69" s="79">
        <v>1</v>
      </c>
      <c r="CI69" s="79">
        <v>1</v>
      </c>
      <c r="CJ69" s="79">
        <v>1</v>
      </c>
      <c r="CK69" s="79">
        <v>1</v>
      </c>
      <c r="CL69" s="79">
        <v>1</v>
      </c>
      <c r="CM69" s="66"/>
      <c r="CN69" s="76"/>
      <c r="CO69" s="78" t="str">
        <f t="shared" si="6"/>
        <v>USD - Otros vista</v>
      </c>
      <c r="CP69" s="79">
        <v>0</v>
      </c>
      <c r="CQ69" s="79">
        <v>0</v>
      </c>
      <c r="CR69" s="79">
        <v>0</v>
      </c>
      <c r="CS69" s="79">
        <v>0</v>
      </c>
      <c r="CT69" s="79">
        <v>0</v>
      </c>
      <c r="CU69" s="79">
        <v>0</v>
      </c>
      <c r="CV69" s="79">
        <v>0</v>
      </c>
      <c r="CW69" s="79">
        <v>0</v>
      </c>
      <c r="CX69" s="79">
        <v>0</v>
      </c>
      <c r="CY69" s="79">
        <v>0</v>
      </c>
      <c r="CZ69" s="79">
        <v>0</v>
      </c>
      <c r="DA69" s="79">
        <v>0</v>
      </c>
      <c r="DB69" s="66"/>
      <c r="DC69" s="66"/>
      <c r="DD69" s="78" t="str">
        <f t="shared" si="7"/>
        <v>USD - Otros vista</v>
      </c>
      <c r="DE69" s="79">
        <v>0</v>
      </c>
      <c r="DF69" s="79">
        <v>0</v>
      </c>
      <c r="DG69" s="79">
        <v>0</v>
      </c>
      <c r="DH69" s="79">
        <v>0</v>
      </c>
      <c r="DI69" s="79">
        <v>0</v>
      </c>
      <c r="DJ69" s="79">
        <v>0</v>
      </c>
      <c r="DK69" s="79">
        <v>0</v>
      </c>
      <c r="DL69" s="79">
        <v>0</v>
      </c>
      <c r="DM69" s="79">
        <v>0</v>
      </c>
      <c r="DN69" s="79">
        <v>0</v>
      </c>
      <c r="DO69" s="79">
        <v>0</v>
      </c>
      <c r="DP69" s="79">
        <v>0</v>
      </c>
      <c r="DQ69" s="66"/>
      <c r="DR69" s="76"/>
      <c r="DS69" s="78" t="str">
        <f t="shared" si="8"/>
        <v>USD - Otros vista</v>
      </c>
      <c r="DT69" s="79">
        <v>0</v>
      </c>
      <c r="DU69" s="79">
        <v>0</v>
      </c>
      <c r="DV69" s="79">
        <v>0</v>
      </c>
      <c r="DW69" s="79">
        <v>0</v>
      </c>
      <c r="DX69" s="79">
        <v>0</v>
      </c>
      <c r="DY69" s="79">
        <v>0</v>
      </c>
      <c r="DZ69" s="79">
        <v>0</v>
      </c>
      <c r="EA69" s="79">
        <v>0</v>
      </c>
      <c r="EB69" s="79">
        <v>0</v>
      </c>
      <c r="EC69" s="79">
        <v>0</v>
      </c>
      <c r="ED69" s="79">
        <v>0</v>
      </c>
      <c r="EE69" s="79">
        <v>0</v>
      </c>
      <c r="EF69" s="66"/>
      <c r="EG69" s="76"/>
      <c r="EH69" s="78" t="str">
        <f t="shared" si="9"/>
        <v>USD - Otros vista</v>
      </c>
      <c r="EI69" s="79">
        <v>0</v>
      </c>
      <c r="EJ69" s="79">
        <v>0</v>
      </c>
      <c r="EK69" s="79">
        <v>0</v>
      </c>
      <c r="EL69" s="79">
        <v>0</v>
      </c>
      <c r="EM69" s="79">
        <v>0</v>
      </c>
      <c r="EN69" s="79">
        <v>0</v>
      </c>
      <c r="EO69" s="79">
        <v>0</v>
      </c>
      <c r="EP69" s="79">
        <v>0</v>
      </c>
      <c r="EQ69" s="79">
        <v>0</v>
      </c>
      <c r="ER69" s="79">
        <v>0</v>
      </c>
      <c r="ES69" s="79">
        <v>0</v>
      </c>
      <c r="ET69" s="79">
        <v>0</v>
      </c>
      <c r="EU69" s="66"/>
      <c r="EV69" s="66"/>
      <c r="EW69" s="66"/>
      <c r="EX69" s="66"/>
      <c r="EY69" s="66"/>
      <c r="EZ69" s="66"/>
      <c r="FA69" s="66"/>
      <c r="FB69" s="66"/>
      <c r="FC69" s="66"/>
      <c r="FD69" s="66"/>
      <c r="FE69" s="66"/>
      <c r="FF69" s="66"/>
      <c r="FG69" s="66"/>
      <c r="FH69" s="66"/>
      <c r="FI69" s="66"/>
      <c r="FJ69" s="76"/>
      <c r="FK69" s="78" t="str">
        <f t="shared" si="10"/>
        <v>USD - Otros vista</v>
      </c>
      <c r="FL69" s="79">
        <v>0</v>
      </c>
      <c r="FM69" s="79">
        <v>0</v>
      </c>
      <c r="FN69" s="79">
        <v>0</v>
      </c>
      <c r="FO69" s="79">
        <v>0</v>
      </c>
      <c r="FP69" s="79">
        <v>0</v>
      </c>
      <c r="FQ69" s="79">
        <v>0</v>
      </c>
      <c r="FR69" s="79">
        <v>0</v>
      </c>
      <c r="FS69" s="79">
        <v>0</v>
      </c>
      <c r="FT69" s="79">
        <v>0</v>
      </c>
      <c r="FU69" s="79">
        <v>0</v>
      </c>
      <c r="FV69" s="79">
        <v>0</v>
      </c>
      <c r="FW69" s="79">
        <v>0</v>
      </c>
      <c r="FX69" s="66"/>
      <c r="FY69" s="76"/>
      <c r="FZ69" s="78" t="str">
        <f t="shared" si="11"/>
        <v>USD - Otros vista</v>
      </c>
      <c r="GA69" s="79" t="s">
        <v>338</v>
      </c>
      <c r="GB69" s="79" t="s">
        <v>338</v>
      </c>
      <c r="GC69" s="79" t="s">
        <v>338</v>
      </c>
      <c r="GD69" s="79" t="s">
        <v>338</v>
      </c>
      <c r="GE69" s="79" t="s">
        <v>338</v>
      </c>
      <c r="GF69" s="79" t="s">
        <v>338</v>
      </c>
      <c r="GG69" s="79" t="s">
        <v>338</v>
      </c>
      <c r="GH69" s="79" t="s">
        <v>338</v>
      </c>
      <c r="GI69" s="79" t="s">
        <v>338</v>
      </c>
      <c r="GJ69" s="79" t="s">
        <v>338</v>
      </c>
      <c r="GK69" s="79" t="s">
        <v>338</v>
      </c>
      <c r="GL69" s="79" t="s">
        <v>338</v>
      </c>
    </row>
    <row r="70" spans="1:194" ht="14.25" customHeight="1" x14ac:dyDescent="0.35">
      <c r="A70" s="65"/>
      <c r="B70" s="75"/>
      <c r="C70" s="76" t="s">
        <v>409</v>
      </c>
      <c r="D70" s="83">
        <v>0</v>
      </c>
      <c r="E70" s="83">
        <v>0</v>
      </c>
      <c r="F70" s="83">
        <v>0</v>
      </c>
      <c r="G70" s="83">
        <v>0</v>
      </c>
      <c r="H70" s="83">
        <v>0</v>
      </c>
      <c r="I70" s="83">
        <v>0</v>
      </c>
      <c r="J70" s="83">
        <v>0</v>
      </c>
      <c r="K70" s="83">
        <v>0</v>
      </c>
      <c r="L70" s="83">
        <v>0</v>
      </c>
      <c r="M70" s="83">
        <v>0</v>
      </c>
      <c r="N70" s="83">
        <v>0</v>
      </c>
      <c r="O70" s="83">
        <v>0</v>
      </c>
      <c r="P70" s="66"/>
      <c r="Q70" s="66"/>
      <c r="R70" s="78" t="str">
        <f t="shared" si="1"/>
        <v>USD - Cuentas corrientes remuneradas</v>
      </c>
      <c r="S70" s="79">
        <v>0</v>
      </c>
      <c r="T70" s="79">
        <v>0</v>
      </c>
      <c r="U70" s="79">
        <v>0</v>
      </c>
      <c r="V70" s="79">
        <v>0</v>
      </c>
      <c r="W70" s="79">
        <v>0</v>
      </c>
      <c r="X70" s="79">
        <v>0</v>
      </c>
      <c r="Y70" s="79">
        <v>0</v>
      </c>
      <c r="Z70" s="79">
        <v>0</v>
      </c>
      <c r="AA70" s="79">
        <v>0</v>
      </c>
      <c r="AB70" s="79">
        <v>0</v>
      </c>
      <c r="AC70" s="79">
        <v>0</v>
      </c>
      <c r="AD70" s="79">
        <v>0</v>
      </c>
      <c r="AE70" s="66"/>
      <c r="AF70" s="75"/>
      <c r="AG70" s="78" t="str">
        <f t="shared" si="2"/>
        <v>USD - Cuentas corrientes remuneradas</v>
      </c>
      <c r="AH70" s="80">
        <v>0</v>
      </c>
      <c r="AI70" s="80">
        <v>0</v>
      </c>
      <c r="AJ70" s="80">
        <v>0</v>
      </c>
      <c r="AK70" s="80">
        <v>0</v>
      </c>
      <c r="AL70" s="80">
        <v>0</v>
      </c>
      <c r="AM70" s="80">
        <v>0</v>
      </c>
      <c r="AN70" s="80">
        <v>0</v>
      </c>
      <c r="AO70" s="80">
        <v>0</v>
      </c>
      <c r="AP70" s="80">
        <v>0</v>
      </c>
      <c r="AQ70" s="80">
        <v>0</v>
      </c>
      <c r="AR70" s="80">
        <v>0</v>
      </c>
      <c r="AS70" s="80">
        <v>0</v>
      </c>
      <c r="AT70" s="66"/>
      <c r="AU70" s="76"/>
      <c r="AV70" s="78" t="str">
        <f t="shared" si="3"/>
        <v>USD - Cuentas corrientes remuneradas</v>
      </c>
      <c r="AW70" s="80">
        <v>0</v>
      </c>
      <c r="AX70" s="80">
        <v>0</v>
      </c>
      <c r="AY70" s="80">
        <v>0</v>
      </c>
      <c r="AZ70" s="80">
        <v>0</v>
      </c>
      <c r="BA70" s="80">
        <v>0</v>
      </c>
      <c r="BB70" s="80">
        <v>0</v>
      </c>
      <c r="BC70" s="80">
        <v>0</v>
      </c>
      <c r="BD70" s="80">
        <v>0</v>
      </c>
      <c r="BE70" s="80">
        <v>0</v>
      </c>
      <c r="BF70" s="80">
        <v>0</v>
      </c>
      <c r="BG70" s="80">
        <v>0</v>
      </c>
      <c r="BH70" s="80">
        <v>0</v>
      </c>
      <c r="BI70" s="66"/>
      <c r="BJ70" s="76"/>
      <c r="BK70" s="78" t="str">
        <f t="shared" si="4"/>
        <v>USD - Cuentas corrientes remuneradas</v>
      </c>
      <c r="BL70" s="81" t="s">
        <v>338</v>
      </c>
      <c r="BM70" s="81" t="s">
        <v>338</v>
      </c>
      <c r="BN70" s="81" t="s">
        <v>338</v>
      </c>
      <c r="BO70" s="81" t="s">
        <v>338</v>
      </c>
      <c r="BP70" s="81" t="s">
        <v>338</v>
      </c>
      <c r="BQ70" s="81" t="s">
        <v>338</v>
      </c>
      <c r="BR70" s="81" t="s">
        <v>338</v>
      </c>
      <c r="BS70" s="81" t="s">
        <v>338</v>
      </c>
      <c r="BT70" s="81" t="s">
        <v>338</v>
      </c>
      <c r="BU70" s="81" t="s">
        <v>338</v>
      </c>
      <c r="BV70" s="81" t="s">
        <v>338</v>
      </c>
      <c r="BW70" s="81" t="s">
        <v>338</v>
      </c>
      <c r="BX70" s="66"/>
      <c r="BY70" s="76"/>
      <c r="BZ70" s="78" t="str">
        <f t="shared" si="5"/>
        <v>USD - Cuentas corrientes remuneradas</v>
      </c>
      <c r="CA70" s="79">
        <v>1</v>
      </c>
      <c r="CB70" s="79">
        <v>1</v>
      </c>
      <c r="CC70" s="79">
        <v>1</v>
      </c>
      <c r="CD70" s="79">
        <v>1</v>
      </c>
      <c r="CE70" s="79">
        <v>1</v>
      </c>
      <c r="CF70" s="79">
        <v>1</v>
      </c>
      <c r="CG70" s="79">
        <v>1</v>
      </c>
      <c r="CH70" s="79">
        <v>1</v>
      </c>
      <c r="CI70" s="79">
        <v>1</v>
      </c>
      <c r="CJ70" s="79">
        <v>1</v>
      </c>
      <c r="CK70" s="79">
        <v>1</v>
      </c>
      <c r="CL70" s="79">
        <v>1</v>
      </c>
      <c r="CM70" s="66"/>
      <c r="CN70" s="76"/>
      <c r="CO70" s="78" t="str">
        <f t="shared" si="6"/>
        <v>USD - Cuentas corrientes remuneradas</v>
      </c>
      <c r="CP70" s="79">
        <v>0</v>
      </c>
      <c r="CQ70" s="79">
        <v>0</v>
      </c>
      <c r="CR70" s="79">
        <v>0</v>
      </c>
      <c r="CS70" s="79">
        <v>0</v>
      </c>
      <c r="CT70" s="79">
        <v>0</v>
      </c>
      <c r="CU70" s="79">
        <v>0</v>
      </c>
      <c r="CV70" s="79">
        <v>0</v>
      </c>
      <c r="CW70" s="79">
        <v>0</v>
      </c>
      <c r="CX70" s="79">
        <v>0</v>
      </c>
      <c r="CY70" s="79">
        <v>0</v>
      </c>
      <c r="CZ70" s="79">
        <v>0</v>
      </c>
      <c r="DA70" s="79">
        <v>0</v>
      </c>
      <c r="DB70" s="66"/>
      <c r="DC70" s="66"/>
      <c r="DD70" s="78" t="str">
        <f t="shared" si="7"/>
        <v>USD - Cuentas corrientes remuneradas</v>
      </c>
      <c r="DE70" s="79">
        <v>0</v>
      </c>
      <c r="DF70" s="79">
        <v>0</v>
      </c>
      <c r="DG70" s="79">
        <v>0</v>
      </c>
      <c r="DH70" s="79">
        <v>0</v>
      </c>
      <c r="DI70" s="79">
        <v>0</v>
      </c>
      <c r="DJ70" s="79">
        <v>0</v>
      </c>
      <c r="DK70" s="79">
        <v>0</v>
      </c>
      <c r="DL70" s="79">
        <v>0</v>
      </c>
      <c r="DM70" s="79">
        <v>0</v>
      </c>
      <c r="DN70" s="79">
        <v>0</v>
      </c>
      <c r="DO70" s="79">
        <v>0</v>
      </c>
      <c r="DP70" s="79">
        <v>0</v>
      </c>
      <c r="DQ70" s="66"/>
      <c r="DR70" s="76"/>
      <c r="DS70" s="78" t="str">
        <f t="shared" si="8"/>
        <v>USD - Cuentas corrientes remuneradas</v>
      </c>
      <c r="DT70" s="79">
        <v>0</v>
      </c>
      <c r="DU70" s="79">
        <v>0</v>
      </c>
      <c r="DV70" s="79">
        <v>0</v>
      </c>
      <c r="DW70" s="79">
        <v>0</v>
      </c>
      <c r="DX70" s="79">
        <v>0</v>
      </c>
      <c r="DY70" s="79">
        <v>0</v>
      </c>
      <c r="DZ70" s="79">
        <v>0</v>
      </c>
      <c r="EA70" s="79">
        <v>0</v>
      </c>
      <c r="EB70" s="79">
        <v>0</v>
      </c>
      <c r="EC70" s="79">
        <v>0</v>
      </c>
      <c r="ED70" s="79">
        <v>0</v>
      </c>
      <c r="EE70" s="79">
        <v>0</v>
      </c>
      <c r="EF70" s="66"/>
      <c r="EG70" s="76"/>
      <c r="EH70" s="78" t="str">
        <f t="shared" si="9"/>
        <v>USD - Cuentas corrientes remuneradas</v>
      </c>
      <c r="EI70" s="79">
        <v>0</v>
      </c>
      <c r="EJ70" s="79">
        <v>0</v>
      </c>
      <c r="EK70" s="79">
        <v>0</v>
      </c>
      <c r="EL70" s="79">
        <v>0</v>
      </c>
      <c r="EM70" s="79">
        <v>0</v>
      </c>
      <c r="EN70" s="79">
        <v>0</v>
      </c>
      <c r="EO70" s="79">
        <v>0</v>
      </c>
      <c r="EP70" s="79">
        <v>0</v>
      </c>
      <c r="EQ70" s="79">
        <v>0</v>
      </c>
      <c r="ER70" s="79">
        <v>0</v>
      </c>
      <c r="ES70" s="79">
        <v>0</v>
      </c>
      <c r="ET70" s="79">
        <v>0</v>
      </c>
      <c r="EU70" s="66"/>
      <c r="EV70" s="66"/>
      <c r="EW70" s="66"/>
      <c r="EX70" s="66"/>
      <c r="EY70" s="66"/>
      <c r="EZ70" s="66"/>
      <c r="FA70" s="66"/>
      <c r="FB70" s="66"/>
      <c r="FC70" s="66"/>
      <c r="FD70" s="66"/>
      <c r="FE70" s="66"/>
      <c r="FF70" s="66"/>
      <c r="FG70" s="66"/>
      <c r="FH70" s="66"/>
      <c r="FI70" s="66"/>
      <c r="FJ70" s="76"/>
      <c r="FK70" s="78" t="str">
        <f t="shared" si="10"/>
        <v>USD - Cuentas corrientes remuneradas</v>
      </c>
      <c r="FL70" s="79">
        <v>0</v>
      </c>
      <c r="FM70" s="79">
        <v>0</v>
      </c>
      <c r="FN70" s="79">
        <v>0</v>
      </c>
      <c r="FO70" s="79">
        <v>0</v>
      </c>
      <c r="FP70" s="79">
        <v>0</v>
      </c>
      <c r="FQ70" s="79">
        <v>0</v>
      </c>
      <c r="FR70" s="79">
        <v>0</v>
      </c>
      <c r="FS70" s="79">
        <v>0</v>
      </c>
      <c r="FT70" s="79">
        <v>0</v>
      </c>
      <c r="FU70" s="79">
        <v>0</v>
      </c>
      <c r="FV70" s="79">
        <v>0</v>
      </c>
      <c r="FW70" s="79">
        <v>0</v>
      </c>
      <c r="FX70" s="66"/>
      <c r="FY70" s="76"/>
      <c r="FZ70" s="78" t="str">
        <f t="shared" si="11"/>
        <v>USD - Cuentas corrientes remuneradas</v>
      </c>
      <c r="GA70" s="79" t="s">
        <v>338</v>
      </c>
      <c r="GB70" s="79" t="s">
        <v>338</v>
      </c>
      <c r="GC70" s="79" t="s">
        <v>338</v>
      </c>
      <c r="GD70" s="79" t="s">
        <v>338</v>
      </c>
      <c r="GE70" s="79" t="s">
        <v>338</v>
      </c>
      <c r="GF70" s="79" t="s">
        <v>338</v>
      </c>
      <c r="GG70" s="79" t="s">
        <v>338</v>
      </c>
      <c r="GH70" s="79" t="s">
        <v>338</v>
      </c>
      <c r="GI70" s="79" t="s">
        <v>338</v>
      </c>
      <c r="GJ70" s="79" t="s">
        <v>338</v>
      </c>
      <c r="GK70" s="79" t="s">
        <v>338</v>
      </c>
      <c r="GL70" s="79" t="s">
        <v>338</v>
      </c>
    </row>
    <row r="71" spans="1:194" ht="14.25" customHeight="1" x14ac:dyDescent="0.35">
      <c r="A71" s="65"/>
      <c r="B71" s="75"/>
      <c r="C71" s="76" t="s">
        <v>410</v>
      </c>
      <c r="D71" s="83">
        <v>0</v>
      </c>
      <c r="E71" s="83">
        <v>0</v>
      </c>
      <c r="F71" s="83">
        <v>0</v>
      </c>
      <c r="G71" s="83">
        <v>0</v>
      </c>
      <c r="H71" s="83">
        <v>0</v>
      </c>
      <c r="I71" s="83">
        <v>0</v>
      </c>
      <c r="J71" s="83">
        <v>0</v>
      </c>
      <c r="K71" s="83">
        <v>0</v>
      </c>
      <c r="L71" s="83">
        <v>0</v>
      </c>
      <c r="M71" s="83">
        <v>0</v>
      </c>
      <c r="N71" s="83">
        <v>0</v>
      </c>
      <c r="O71" s="83">
        <v>0</v>
      </c>
      <c r="P71" s="66"/>
      <c r="Q71" s="66"/>
      <c r="R71" s="78" t="str">
        <f t="shared" si="1"/>
        <v>USD - Ces.temp.activos</v>
      </c>
      <c r="S71" s="79">
        <v>0</v>
      </c>
      <c r="T71" s="79">
        <v>0</v>
      </c>
      <c r="U71" s="79">
        <v>0</v>
      </c>
      <c r="V71" s="79">
        <v>0</v>
      </c>
      <c r="W71" s="79">
        <v>0</v>
      </c>
      <c r="X71" s="79">
        <v>0</v>
      </c>
      <c r="Y71" s="79">
        <v>0</v>
      </c>
      <c r="Z71" s="79">
        <v>0</v>
      </c>
      <c r="AA71" s="79">
        <v>0</v>
      </c>
      <c r="AB71" s="79">
        <v>0</v>
      </c>
      <c r="AC71" s="79">
        <v>0</v>
      </c>
      <c r="AD71" s="79">
        <v>0</v>
      </c>
      <c r="AE71" s="66"/>
      <c r="AF71" s="75"/>
      <c r="AG71" s="78" t="str">
        <f t="shared" si="2"/>
        <v>USD - Ces.temp.activos</v>
      </c>
      <c r="AH71" s="80">
        <v>0</v>
      </c>
      <c r="AI71" s="80">
        <v>0</v>
      </c>
      <c r="AJ71" s="80">
        <v>0</v>
      </c>
      <c r="AK71" s="80">
        <v>0</v>
      </c>
      <c r="AL71" s="80">
        <v>0</v>
      </c>
      <c r="AM71" s="80">
        <v>0</v>
      </c>
      <c r="AN71" s="80">
        <v>0</v>
      </c>
      <c r="AO71" s="80">
        <v>0</v>
      </c>
      <c r="AP71" s="80">
        <v>0</v>
      </c>
      <c r="AQ71" s="80">
        <v>0</v>
      </c>
      <c r="AR71" s="80">
        <v>0</v>
      </c>
      <c r="AS71" s="80">
        <v>0</v>
      </c>
      <c r="AT71" s="66"/>
      <c r="AU71" s="76"/>
      <c r="AV71" s="78" t="str">
        <f t="shared" si="3"/>
        <v>USD - Ces.temp.activos</v>
      </c>
      <c r="AW71" s="80">
        <v>0</v>
      </c>
      <c r="AX71" s="80">
        <v>0</v>
      </c>
      <c r="AY71" s="80">
        <v>0</v>
      </c>
      <c r="AZ71" s="80">
        <v>0</v>
      </c>
      <c r="BA71" s="80">
        <v>0</v>
      </c>
      <c r="BB71" s="80">
        <v>0</v>
      </c>
      <c r="BC71" s="80">
        <v>0</v>
      </c>
      <c r="BD71" s="80">
        <v>0</v>
      </c>
      <c r="BE71" s="80">
        <v>0</v>
      </c>
      <c r="BF71" s="80">
        <v>0</v>
      </c>
      <c r="BG71" s="80">
        <v>0</v>
      </c>
      <c r="BH71" s="80">
        <v>0</v>
      </c>
      <c r="BI71" s="66"/>
      <c r="BJ71" s="76"/>
      <c r="BK71" s="78" t="str">
        <f t="shared" si="4"/>
        <v>USD - Ces.temp.activos</v>
      </c>
      <c r="BL71" s="81" t="s">
        <v>338</v>
      </c>
      <c r="BM71" s="81" t="s">
        <v>338</v>
      </c>
      <c r="BN71" s="81" t="s">
        <v>338</v>
      </c>
      <c r="BO71" s="81" t="s">
        <v>338</v>
      </c>
      <c r="BP71" s="81" t="s">
        <v>338</v>
      </c>
      <c r="BQ71" s="81" t="s">
        <v>338</v>
      </c>
      <c r="BR71" s="81" t="s">
        <v>338</v>
      </c>
      <c r="BS71" s="81" t="s">
        <v>338</v>
      </c>
      <c r="BT71" s="81" t="s">
        <v>338</v>
      </c>
      <c r="BU71" s="81" t="s">
        <v>338</v>
      </c>
      <c r="BV71" s="81" t="s">
        <v>338</v>
      </c>
      <c r="BW71" s="81" t="s">
        <v>338</v>
      </c>
      <c r="BX71" s="66"/>
      <c r="BY71" s="76"/>
      <c r="BZ71" s="78" t="str">
        <f t="shared" si="5"/>
        <v>USD - Ces.temp.activos</v>
      </c>
      <c r="CA71" s="79">
        <v>1</v>
      </c>
      <c r="CB71" s="79">
        <v>1</v>
      </c>
      <c r="CC71" s="79">
        <v>1</v>
      </c>
      <c r="CD71" s="79">
        <v>1</v>
      </c>
      <c r="CE71" s="79">
        <v>1</v>
      </c>
      <c r="CF71" s="79">
        <v>1</v>
      </c>
      <c r="CG71" s="79">
        <v>1</v>
      </c>
      <c r="CH71" s="79">
        <v>1</v>
      </c>
      <c r="CI71" s="79">
        <v>1</v>
      </c>
      <c r="CJ71" s="79">
        <v>1</v>
      </c>
      <c r="CK71" s="79">
        <v>1</v>
      </c>
      <c r="CL71" s="79">
        <v>1</v>
      </c>
      <c r="CM71" s="66"/>
      <c r="CN71" s="76"/>
      <c r="CO71" s="78" t="str">
        <f t="shared" si="6"/>
        <v>USD - Ces.temp.activos</v>
      </c>
      <c r="CP71" s="79">
        <v>0</v>
      </c>
      <c r="CQ71" s="79">
        <v>0</v>
      </c>
      <c r="CR71" s="79">
        <v>0</v>
      </c>
      <c r="CS71" s="79">
        <v>0</v>
      </c>
      <c r="CT71" s="79">
        <v>0</v>
      </c>
      <c r="CU71" s="79">
        <v>0</v>
      </c>
      <c r="CV71" s="79">
        <v>0</v>
      </c>
      <c r="CW71" s="79">
        <v>0</v>
      </c>
      <c r="CX71" s="79">
        <v>0</v>
      </c>
      <c r="CY71" s="79">
        <v>0</v>
      </c>
      <c r="CZ71" s="79">
        <v>0</v>
      </c>
      <c r="DA71" s="79">
        <v>0</v>
      </c>
      <c r="DB71" s="66"/>
      <c r="DC71" s="66"/>
      <c r="DD71" s="78" t="str">
        <f t="shared" si="7"/>
        <v>USD - Ces.temp.activos</v>
      </c>
      <c r="DE71" s="79">
        <v>0</v>
      </c>
      <c r="DF71" s="79">
        <v>0</v>
      </c>
      <c r="DG71" s="79">
        <v>0</v>
      </c>
      <c r="DH71" s="79">
        <v>0</v>
      </c>
      <c r="DI71" s="79">
        <v>0</v>
      </c>
      <c r="DJ71" s="79">
        <v>0</v>
      </c>
      <c r="DK71" s="79">
        <v>0</v>
      </c>
      <c r="DL71" s="79">
        <v>0</v>
      </c>
      <c r="DM71" s="79">
        <v>0</v>
      </c>
      <c r="DN71" s="79">
        <v>0</v>
      </c>
      <c r="DO71" s="79">
        <v>0</v>
      </c>
      <c r="DP71" s="79">
        <v>0</v>
      </c>
      <c r="DQ71" s="66"/>
      <c r="DR71" s="76"/>
      <c r="DS71" s="78" t="str">
        <f t="shared" si="8"/>
        <v>USD - Ces.temp.activos</v>
      </c>
      <c r="DT71" s="79">
        <v>0</v>
      </c>
      <c r="DU71" s="79">
        <v>0</v>
      </c>
      <c r="DV71" s="79">
        <v>0</v>
      </c>
      <c r="DW71" s="79">
        <v>0</v>
      </c>
      <c r="DX71" s="79">
        <v>0</v>
      </c>
      <c r="DY71" s="79">
        <v>0</v>
      </c>
      <c r="DZ71" s="79">
        <v>0</v>
      </c>
      <c r="EA71" s="79">
        <v>0</v>
      </c>
      <c r="EB71" s="79">
        <v>0</v>
      </c>
      <c r="EC71" s="79">
        <v>0</v>
      </c>
      <c r="ED71" s="79">
        <v>0</v>
      </c>
      <c r="EE71" s="79">
        <v>0</v>
      </c>
      <c r="EF71" s="66"/>
      <c r="EG71" s="76"/>
      <c r="EH71" s="78" t="str">
        <f t="shared" si="9"/>
        <v>USD - Ces.temp.activos</v>
      </c>
      <c r="EI71" s="79">
        <v>0</v>
      </c>
      <c r="EJ71" s="79">
        <v>0</v>
      </c>
      <c r="EK71" s="79">
        <v>0</v>
      </c>
      <c r="EL71" s="79">
        <v>0</v>
      </c>
      <c r="EM71" s="79">
        <v>0</v>
      </c>
      <c r="EN71" s="79">
        <v>0</v>
      </c>
      <c r="EO71" s="79">
        <v>0</v>
      </c>
      <c r="EP71" s="79">
        <v>0</v>
      </c>
      <c r="EQ71" s="79">
        <v>0</v>
      </c>
      <c r="ER71" s="79">
        <v>0</v>
      </c>
      <c r="ES71" s="79">
        <v>0</v>
      </c>
      <c r="ET71" s="79">
        <v>0</v>
      </c>
      <c r="EU71" s="66"/>
      <c r="EV71" s="66"/>
      <c r="EW71" s="66"/>
      <c r="EX71" s="66"/>
      <c r="EY71" s="66"/>
      <c r="EZ71" s="66"/>
      <c r="FA71" s="66"/>
      <c r="FB71" s="66"/>
      <c r="FC71" s="66"/>
      <c r="FD71" s="66"/>
      <c r="FE71" s="66"/>
      <c r="FF71" s="66"/>
      <c r="FG71" s="66"/>
      <c r="FH71" s="66"/>
      <c r="FI71" s="66"/>
      <c r="FJ71" s="76"/>
      <c r="FK71" s="78" t="str">
        <f t="shared" si="10"/>
        <v>USD - Ces.temp.activos</v>
      </c>
      <c r="FL71" s="79">
        <v>0</v>
      </c>
      <c r="FM71" s="79">
        <v>0</v>
      </c>
      <c r="FN71" s="79">
        <v>0</v>
      </c>
      <c r="FO71" s="79">
        <v>0</v>
      </c>
      <c r="FP71" s="79">
        <v>0</v>
      </c>
      <c r="FQ71" s="79">
        <v>0</v>
      </c>
      <c r="FR71" s="79">
        <v>0</v>
      </c>
      <c r="FS71" s="79">
        <v>0</v>
      </c>
      <c r="FT71" s="79">
        <v>0</v>
      </c>
      <c r="FU71" s="79">
        <v>0</v>
      </c>
      <c r="FV71" s="79">
        <v>0</v>
      </c>
      <c r="FW71" s="79">
        <v>0</v>
      </c>
      <c r="FX71" s="66"/>
      <c r="FY71" s="76"/>
      <c r="FZ71" s="78" t="str">
        <f t="shared" si="11"/>
        <v>USD - Ces.temp.activos</v>
      </c>
      <c r="GA71" s="79" t="s">
        <v>338</v>
      </c>
      <c r="GB71" s="79" t="s">
        <v>338</v>
      </c>
      <c r="GC71" s="79" t="s">
        <v>338</v>
      </c>
      <c r="GD71" s="79" t="s">
        <v>338</v>
      </c>
      <c r="GE71" s="79" t="s">
        <v>338</v>
      </c>
      <c r="GF71" s="79" t="s">
        <v>338</v>
      </c>
      <c r="GG71" s="79" t="s">
        <v>338</v>
      </c>
      <c r="GH71" s="79" t="s">
        <v>338</v>
      </c>
      <c r="GI71" s="79" t="s">
        <v>338</v>
      </c>
      <c r="GJ71" s="79" t="s">
        <v>338</v>
      </c>
      <c r="GK71" s="79" t="s">
        <v>338</v>
      </c>
      <c r="GL71" s="79" t="s">
        <v>338</v>
      </c>
    </row>
    <row r="72" spans="1:194" ht="14.25" customHeight="1" x14ac:dyDescent="0.35">
      <c r="A72" s="65"/>
      <c r="B72" s="75"/>
      <c r="C72" s="76" t="s">
        <v>411</v>
      </c>
      <c r="D72" s="83">
        <v>0</v>
      </c>
      <c r="E72" s="83">
        <v>0</v>
      </c>
      <c r="F72" s="83">
        <v>0</v>
      </c>
      <c r="G72" s="83">
        <v>0</v>
      </c>
      <c r="H72" s="83">
        <v>0</v>
      </c>
      <c r="I72" s="83">
        <v>0</v>
      </c>
      <c r="J72" s="83">
        <v>0</v>
      </c>
      <c r="K72" s="83">
        <v>0</v>
      </c>
      <c r="L72" s="83">
        <v>0</v>
      </c>
      <c r="M72" s="83">
        <v>0</v>
      </c>
      <c r="N72" s="83">
        <v>0</v>
      </c>
      <c r="O72" s="83">
        <v>0</v>
      </c>
      <c r="P72" s="66"/>
      <c r="Q72" s="66"/>
      <c r="R72" s="78" t="str">
        <f t="shared" si="1"/>
        <v>USD - Redescuentos</v>
      </c>
      <c r="S72" s="79">
        <v>0</v>
      </c>
      <c r="T72" s="79">
        <v>0</v>
      </c>
      <c r="U72" s="79">
        <v>0</v>
      </c>
      <c r="V72" s="79">
        <v>0</v>
      </c>
      <c r="W72" s="79">
        <v>0</v>
      </c>
      <c r="X72" s="79">
        <v>0</v>
      </c>
      <c r="Y72" s="79">
        <v>0</v>
      </c>
      <c r="Z72" s="79">
        <v>0</v>
      </c>
      <c r="AA72" s="79">
        <v>0</v>
      </c>
      <c r="AB72" s="79">
        <v>0</v>
      </c>
      <c r="AC72" s="79">
        <v>0</v>
      </c>
      <c r="AD72" s="79">
        <v>0</v>
      </c>
      <c r="AE72" s="66"/>
      <c r="AF72" s="75"/>
      <c r="AG72" s="78" t="str">
        <f t="shared" si="2"/>
        <v>USD - Redescuentos</v>
      </c>
      <c r="AH72" s="80">
        <v>0</v>
      </c>
      <c r="AI72" s="80">
        <v>0</v>
      </c>
      <c r="AJ72" s="80">
        <v>0</v>
      </c>
      <c r="AK72" s="80">
        <v>0</v>
      </c>
      <c r="AL72" s="80">
        <v>0</v>
      </c>
      <c r="AM72" s="80">
        <v>0</v>
      </c>
      <c r="AN72" s="80">
        <v>0</v>
      </c>
      <c r="AO72" s="80">
        <v>0</v>
      </c>
      <c r="AP72" s="80">
        <v>0</v>
      </c>
      <c r="AQ72" s="80">
        <v>0</v>
      </c>
      <c r="AR72" s="80">
        <v>0</v>
      </c>
      <c r="AS72" s="80">
        <v>0</v>
      </c>
      <c r="AT72" s="66"/>
      <c r="AU72" s="76"/>
      <c r="AV72" s="78" t="str">
        <f t="shared" si="3"/>
        <v>USD - Redescuentos</v>
      </c>
      <c r="AW72" s="80">
        <v>0</v>
      </c>
      <c r="AX72" s="80">
        <v>0</v>
      </c>
      <c r="AY72" s="80">
        <v>0</v>
      </c>
      <c r="AZ72" s="80">
        <v>0</v>
      </c>
      <c r="BA72" s="80">
        <v>0</v>
      </c>
      <c r="BB72" s="80">
        <v>0</v>
      </c>
      <c r="BC72" s="80">
        <v>0</v>
      </c>
      <c r="BD72" s="80">
        <v>0</v>
      </c>
      <c r="BE72" s="80">
        <v>0</v>
      </c>
      <c r="BF72" s="80">
        <v>0</v>
      </c>
      <c r="BG72" s="80">
        <v>0</v>
      </c>
      <c r="BH72" s="80">
        <v>0</v>
      </c>
      <c r="BI72" s="66"/>
      <c r="BJ72" s="76"/>
      <c r="BK72" s="78" t="str">
        <f t="shared" si="4"/>
        <v>USD - Redescuentos</v>
      </c>
      <c r="BL72" s="81" t="s">
        <v>338</v>
      </c>
      <c r="BM72" s="81" t="s">
        <v>338</v>
      </c>
      <c r="BN72" s="81" t="s">
        <v>338</v>
      </c>
      <c r="BO72" s="81" t="s">
        <v>338</v>
      </c>
      <c r="BP72" s="81" t="s">
        <v>338</v>
      </c>
      <c r="BQ72" s="81" t="s">
        <v>338</v>
      </c>
      <c r="BR72" s="81" t="s">
        <v>338</v>
      </c>
      <c r="BS72" s="81" t="s">
        <v>338</v>
      </c>
      <c r="BT72" s="81" t="s">
        <v>338</v>
      </c>
      <c r="BU72" s="81" t="s">
        <v>338</v>
      </c>
      <c r="BV72" s="81" t="s">
        <v>338</v>
      </c>
      <c r="BW72" s="81" t="s">
        <v>338</v>
      </c>
      <c r="BX72" s="66"/>
      <c r="BY72" s="76"/>
      <c r="BZ72" s="78" t="str">
        <f t="shared" si="5"/>
        <v>USD - Redescuentos</v>
      </c>
      <c r="CA72" s="79">
        <v>1</v>
      </c>
      <c r="CB72" s="79">
        <v>1</v>
      </c>
      <c r="CC72" s="79">
        <v>1</v>
      </c>
      <c r="CD72" s="79">
        <v>1</v>
      </c>
      <c r="CE72" s="79">
        <v>1</v>
      </c>
      <c r="CF72" s="79">
        <v>1</v>
      </c>
      <c r="CG72" s="79">
        <v>1</v>
      </c>
      <c r="CH72" s="79">
        <v>1</v>
      </c>
      <c r="CI72" s="79">
        <v>1</v>
      </c>
      <c r="CJ72" s="79">
        <v>1</v>
      </c>
      <c r="CK72" s="79">
        <v>1</v>
      </c>
      <c r="CL72" s="79">
        <v>1</v>
      </c>
      <c r="CM72" s="66"/>
      <c r="CN72" s="76"/>
      <c r="CO72" s="78" t="str">
        <f t="shared" si="6"/>
        <v>USD - Redescuentos</v>
      </c>
      <c r="CP72" s="79">
        <v>0</v>
      </c>
      <c r="CQ72" s="79">
        <v>0</v>
      </c>
      <c r="CR72" s="79">
        <v>0</v>
      </c>
      <c r="CS72" s="79">
        <v>0</v>
      </c>
      <c r="CT72" s="79">
        <v>0</v>
      </c>
      <c r="CU72" s="79">
        <v>0</v>
      </c>
      <c r="CV72" s="79">
        <v>0</v>
      </c>
      <c r="CW72" s="79">
        <v>0</v>
      </c>
      <c r="CX72" s="79">
        <v>0</v>
      </c>
      <c r="CY72" s="79">
        <v>0</v>
      </c>
      <c r="CZ72" s="79">
        <v>0</v>
      </c>
      <c r="DA72" s="79">
        <v>0</v>
      </c>
      <c r="DB72" s="66"/>
      <c r="DC72" s="66"/>
      <c r="DD72" s="78" t="str">
        <f t="shared" si="7"/>
        <v>USD - Redescuentos</v>
      </c>
      <c r="DE72" s="79">
        <v>0</v>
      </c>
      <c r="DF72" s="79">
        <v>0</v>
      </c>
      <c r="DG72" s="79">
        <v>0</v>
      </c>
      <c r="DH72" s="79">
        <v>0</v>
      </c>
      <c r="DI72" s="79">
        <v>0</v>
      </c>
      <c r="DJ72" s="79">
        <v>0</v>
      </c>
      <c r="DK72" s="79">
        <v>0</v>
      </c>
      <c r="DL72" s="79">
        <v>0</v>
      </c>
      <c r="DM72" s="79">
        <v>0</v>
      </c>
      <c r="DN72" s="79">
        <v>0</v>
      </c>
      <c r="DO72" s="79">
        <v>0</v>
      </c>
      <c r="DP72" s="79">
        <v>0</v>
      </c>
      <c r="DQ72" s="66"/>
      <c r="DR72" s="76"/>
      <c r="DS72" s="78" t="str">
        <f t="shared" si="8"/>
        <v>USD - Redescuentos</v>
      </c>
      <c r="DT72" s="79">
        <v>0</v>
      </c>
      <c r="DU72" s="79">
        <v>0</v>
      </c>
      <c r="DV72" s="79">
        <v>0</v>
      </c>
      <c r="DW72" s="79">
        <v>0</v>
      </c>
      <c r="DX72" s="79">
        <v>0</v>
      </c>
      <c r="DY72" s="79">
        <v>0</v>
      </c>
      <c r="DZ72" s="79">
        <v>0</v>
      </c>
      <c r="EA72" s="79">
        <v>0</v>
      </c>
      <c r="EB72" s="79">
        <v>0</v>
      </c>
      <c r="EC72" s="79">
        <v>0</v>
      </c>
      <c r="ED72" s="79">
        <v>0</v>
      </c>
      <c r="EE72" s="79">
        <v>0</v>
      </c>
      <c r="EF72" s="66"/>
      <c r="EG72" s="76"/>
      <c r="EH72" s="78" t="str">
        <f t="shared" si="9"/>
        <v>USD - Redescuentos</v>
      </c>
      <c r="EI72" s="79">
        <v>0</v>
      </c>
      <c r="EJ72" s="79">
        <v>0</v>
      </c>
      <c r="EK72" s="79">
        <v>0</v>
      </c>
      <c r="EL72" s="79">
        <v>0</v>
      </c>
      <c r="EM72" s="79">
        <v>0</v>
      </c>
      <c r="EN72" s="79">
        <v>0</v>
      </c>
      <c r="EO72" s="79">
        <v>0</v>
      </c>
      <c r="EP72" s="79">
        <v>0</v>
      </c>
      <c r="EQ72" s="79">
        <v>0</v>
      </c>
      <c r="ER72" s="79">
        <v>0</v>
      </c>
      <c r="ES72" s="79">
        <v>0</v>
      </c>
      <c r="ET72" s="79">
        <v>0</v>
      </c>
      <c r="EU72" s="66"/>
      <c r="EV72" s="66"/>
      <c r="EW72" s="66"/>
      <c r="EX72" s="66"/>
      <c r="EY72" s="66"/>
      <c r="EZ72" s="66"/>
      <c r="FA72" s="66"/>
      <c r="FB72" s="66"/>
      <c r="FC72" s="66"/>
      <c r="FD72" s="66"/>
      <c r="FE72" s="66"/>
      <c r="FF72" s="66"/>
      <c r="FG72" s="66"/>
      <c r="FH72" s="66"/>
      <c r="FI72" s="66"/>
      <c r="FJ72" s="76"/>
      <c r="FK72" s="78" t="str">
        <f t="shared" si="10"/>
        <v>USD - Redescuentos</v>
      </c>
      <c r="FL72" s="79">
        <v>0</v>
      </c>
      <c r="FM72" s="79">
        <v>0</v>
      </c>
      <c r="FN72" s="79">
        <v>0</v>
      </c>
      <c r="FO72" s="79">
        <v>0</v>
      </c>
      <c r="FP72" s="79">
        <v>0</v>
      </c>
      <c r="FQ72" s="79">
        <v>0</v>
      </c>
      <c r="FR72" s="79">
        <v>0</v>
      </c>
      <c r="FS72" s="79">
        <v>0</v>
      </c>
      <c r="FT72" s="79">
        <v>0</v>
      </c>
      <c r="FU72" s="79">
        <v>0</v>
      </c>
      <c r="FV72" s="79">
        <v>0</v>
      </c>
      <c r="FW72" s="79">
        <v>0</v>
      </c>
      <c r="FX72" s="66"/>
      <c r="FY72" s="76"/>
      <c r="FZ72" s="78" t="str">
        <f t="shared" si="11"/>
        <v>USD - Redescuentos</v>
      </c>
      <c r="GA72" s="79" t="s">
        <v>338</v>
      </c>
      <c r="GB72" s="79" t="s">
        <v>338</v>
      </c>
      <c r="GC72" s="79" t="s">
        <v>338</v>
      </c>
      <c r="GD72" s="79" t="s">
        <v>338</v>
      </c>
      <c r="GE72" s="79" t="s">
        <v>338</v>
      </c>
      <c r="GF72" s="79" t="s">
        <v>338</v>
      </c>
      <c r="GG72" s="79" t="s">
        <v>338</v>
      </c>
      <c r="GH72" s="79" t="s">
        <v>338</v>
      </c>
      <c r="GI72" s="79" t="s">
        <v>338</v>
      </c>
      <c r="GJ72" s="79" t="s">
        <v>338</v>
      </c>
      <c r="GK72" s="79" t="s">
        <v>338</v>
      </c>
      <c r="GL72" s="79" t="s">
        <v>338</v>
      </c>
    </row>
    <row r="73" spans="1:194" ht="14.25" customHeight="1" x14ac:dyDescent="0.35">
      <c r="A73" s="65"/>
      <c r="B73" s="75"/>
      <c r="C73" s="76" t="s">
        <v>412</v>
      </c>
      <c r="D73" s="83">
        <v>0</v>
      </c>
      <c r="E73" s="83">
        <v>0</v>
      </c>
      <c r="F73" s="83">
        <v>0</v>
      </c>
      <c r="G73" s="83">
        <v>0</v>
      </c>
      <c r="H73" s="83">
        <v>0</v>
      </c>
      <c r="I73" s="83">
        <v>0</v>
      </c>
      <c r="J73" s="83">
        <v>0</v>
      </c>
      <c r="K73" s="83">
        <v>0</v>
      </c>
      <c r="L73" s="83">
        <v>0</v>
      </c>
      <c r="M73" s="83">
        <v>0</v>
      </c>
      <c r="N73" s="83">
        <v>0</v>
      </c>
      <c r="O73" s="83">
        <v>0</v>
      </c>
      <c r="P73" s="66"/>
      <c r="Q73" s="66"/>
      <c r="R73" s="78" t="str">
        <f t="shared" si="1"/>
        <v>USD - Cuenta de Cuadre Pasivo</v>
      </c>
      <c r="S73" s="79">
        <v>0</v>
      </c>
      <c r="T73" s="79">
        <v>0</v>
      </c>
      <c r="U73" s="79">
        <v>0</v>
      </c>
      <c r="V73" s="79">
        <v>0</v>
      </c>
      <c r="W73" s="79">
        <v>0</v>
      </c>
      <c r="X73" s="79">
        <v>0</v>
      </c>
      <c r="Y73" s="79">
        <v>0</v>
      </c>
      <c r="Z73" s="79">
        <v>0</v>
      </c>
      <c r="AA73" s="79">
        <v>0</v>
      </c>
      <c r="AB73" s="79">
        <v>0</v>
      </c>
      <c r="AC73" s="79">
        <v>0</v>
      </c>
      <c r="AD73" s="79">
        <v>0</v>
      </c>
      <c r="AE73" s="66"/>
      <c r="AF73" s="75"/>
      <c r="AG73" s="78" t="str">
        <f t="shared" si="2"/>
        <v>USD - Cuenta de Cuadre Pasivo</v>
      </c>
      <c r="AH73" s="80">
        <v>0</v>
      </c>
      <c r="AI73" s="80">
        <v>0</v>
      </c>
      <c r="AJ73" s="80">
        <v>0</v>
      </c>
      <c r="AK73" s="80">
        <v>0</v>
      </c>
      <c r="AL73" s="80">
        <v>0</v>
      </c>
      <c r="AM73" s="80">
        <v>0</v>
      </c>
      <c r="AN73" s="80">
        <v>0</v>
      </c>
      <c r="AO73" s="80">
        <v>0</v>
      </c>
      <c r="AP73" s="80">
        <v>0</v>
      </c>
      <c r="AQ73" s="80">
        <v>0</v>
      </c>
      <c r="AR73" s="80">
        <v>0</v>
      </c>
      <c r="AS73" s="80">
        <v>0</v>
      </c>
      <c r="AT73" s="66"/>
      <c r="AU73" s="76"/>
      <c r="AV73" s="78" t="str">
        <f t="shared" si="3"/>
        <v>USD - Cuenta de Cuadre Pasivo</v>
      </c>
      <c r="AW73" s="80">
        <v>0</v>
      </c>
      <c r="AX73" s="80">
        <v>0</v>
      </c>
      <c r="AY73" s="80">
        <v>0</v>
      </c>
      <c r="AZ73" s="80">
        <v>0</v>
      </c>
      <c r="BA73" s="80">
        <v>0</v>
      </c>
      <c r="BB73" s="80">
        <v>0</v>
      </c>
      <c r="BC73" s="80">
        <v>0</v>
      </c>
      <c r="BD73" s="80">
        <v>0</v>
      </c>
      <c r="BE73" s="80">
        <v>0</v>
      </c>
      <c r="BF73" s="80">
        <v>0</v>
      </c>
      <c r="BG73" s="80">
        <v>0</v>
      </c>
      <c r="BH73" s="80">
        <v>0</v>
      </c>
      <c r="BI73" s="66"/>
      <c r="BJ73" s="76"/>
      <c r="BK73" s="78" t="str">
        <f t="shared" si="4"/>
        <v>USD - Cuenta de Cuadre Pasivo</v>
      </c>
      <c r="BL73" s="81" t="s">
        <v>338</v>
      </c>
      <c r="BM73" s="81" t="s">
        <v>338</v>
      </c>
      <c r="BN73" s="81" t="s">
        <v>338</v>
      </c>
      <c r="BO73" s="81" t="s">
        <v>338</v>
      </c>
      <c r="BP73" s="81" t="s">
        <v>338</v>
      </c>
      <c r="BQ73" s="81" t="s">
        <v>338</v>
      </c>
      <c r="BR73" s="81" t="s">
        <v>338</v>
      </c>
      <c r="BS73" s="81" t="s">
        <v>338</v>
      </c>
      <c r="BT73" s="81" t="s">
        <v>338</v>
      </c>
      <c r="BU73" s="81" t="s">
        <v>338</v>
      </c>
      <c r="BV73" s="81" t="s">
        <v>338</v>
      </c>
      <c r="BW73" s="81" t="s">
        <v>338</v>
      </c>
      <c r="BX73" s="66"/>
      <c r="BY73" s="76"/>
      <c r="BZ73" s="78" t="str">
        <f t="shared" si="5"/>
        <v>USD - Cuenta de Cuadre Pasivo</v>
      </c>
      <c r="CA73" s="79">
        <v>1</v>
      </c>
      <c r="CB73" s="79">
        <v>1</v>
      </c>
      <c r="CC73" s="79">
        <v>1</v>
      </c>
      <c r="CD73" s="79">
        <v>1</v>
      </c>
      <c r="CE73" s="79">
        <v>1</v>
      </c>
      <c r="CF73" s="79">
        <v>1</v>
      </c>
      <c r="CG73" s="79">
        <v>1</v>
      </c>
      <c r="CH73" s="79">
        <v>1</v>
      </c>
      <c r="CI73" s="79">
        <v>1</v>
      </c>
      <c r="CJ73" s="79">
        <v>1</v>
      </c>
      <c r="CK73" s="79">
        <v>1</v>
      </c>
      <c r="CL73" s="79">
        <v>1</v>
      </c>
      <c r="CM73" s="66"/>
      <c r="CN73" s="76"/>
      <c r="CO73" s="78" t="str">
        <f t="shared" si="6"/>
        <v>USD - Cuenta de Cuadre Pasivo</v>
      </c>
      <c r="CP73" s="79">
        <v>0</v>
      </c>
      <c r="CQ73" s="79">
        <v>0</v>
      </c>
      <c r="CR73" s="79">
        <v>0</v>
      </c>
      <c r="CS73" s="79">
        <v>0</v>
      </c>
      <c r="CT73" s="79">
        <v>0</v>
      </c>
      <c r="CU73" s="79">
        <v>0</v>
      </c>
      <c r="CV73" s="79">
        <v>0</v>
      </c>
      <c r="CW73" s="79">
        <v>0</v>
      </c>
      <c r="CX73" s="79">
        <v>0</v>
      </c>
      <c r="CY73" s="79">
        <v>0</v>
      </c>
      <c r="CZ73" s="79">
        <v>0</v>
      </c>
      <c r="DA73" s="79">
        <v>0</v>
      </c>
      <c r="DB73" s="66"/>
      <c r="DC73" s="66"/>
      <c r="DD73" s="78" t="str">
        <f t="shared" si="7"/>
        <v>USD - Cuenta de Cuadre Pasivo</v>
      </c>
      <c r="DE73" s="79">
        <v>0</v>
      </c>
      <c r="DF73" s="79">
        <v>0</v>
      </c>
      <c r="DG73" s="79">
        <v>0</v>
      </c>
      <c r="DH73" s="79">
        <v>0</v>
      </c>
      <c r="DI73" s="79">
        <v>0</v>
      </c>
      <c r="DJ73" s="79">
        <v>0</v>
      </c>
      <c r="DK73" s="79">
        <v>0</v>
      </c>
      <c r="DL73" s="79">
        <v>0</v>
      </c>
      <c r="DM73" s="79">
        <v>0</v>
      </c>
      <c r="DN73" s="79">
        <v>0</v>
      </c>
      <c r="DO73" s="79">
        <v>0</v>
      </c>
      <c r="DP73" s="79">
        <v>0</v>
      </c>
      <c r="DQ73" s="66"/>
      <c r="DR73" s="76"/>
      <c r="DS73" s="78" t="str">
        <f t="shared" si="8"/>
        <v>USD - Cuenta de Cuadre Pasivo</v>
      </c>
      <c r="DT73" s="79">
        <v>0</v>
      </c>
      <c r="DU73" s="79">
        <v>0</v>
      </c>
      <c r="DV73" s="79">
        <v>0</v>
      </c>
      <c r="DW73" s="79">
        <v>0</v>
      </c>
      <c r="DX73" s="79">
        <v>0</v>
      </c>
      <c r="DY73" s="79">
        <v>0</v>
      </c>
      <c r="DZ73" s="79">
        <v>0</v>
      </c>
      <c r="EA73" s="79">
        <v>0</v>
      </c>
      <c r="EB73" s="79">
        <v>0</v>
      </c>
      <c r="EC73" s="79">
        <v>0</v>
      </c>
      <c r="ED73" s="79">
        <v>0</v>
      </c>
      <c r="EE73" s="79">
        <v>0</v>
      </c>
      <c r="EF73" s="66"/>
      <c r="EG73" s="76"/>
      <c r="EH73" s="78" t="str">
        <f t="shared" si="9"/>
        <v>USD - Cuenta de Cuadre Pasivo</v>
      </c>
      <c r="EI73" s="79">
        <v>0</v>
      </c>
      <c r="EJ73" s="79">
        <v>0</v>
      </c>
      <c r="EK73" s="79">
        <v>0</v>
      </c>
      <c r="EL73" s="79">
        <v>0</v>
      </c>
      <c r="EM73" s="79">
        <v>0</v>
      </c>
      <c r="EN73" s="79">
        <v>0</v>
      </c>
      <c r="EO73" s="79">
        <v>0</v>
      </c>
      <c r="EP73" s="79">
        <v>0</v>
      </c>
      <c r="EQ73" s="79">
        <v>0</v>
      </c>
      <c r="ER73" s="79">
        <v>0</v>
      </c>
      <c r="ES73" s="79">
        <v>0</v>
      </c>
      <c r="ET73" s="79">
        <v>0</v>
      </c>
      <c r="EU73" s="66"/>
      <c r="EV73" s="66"/>
      <c r="EW73" s="66"/>
      <c r="EX73" s="66"/>
      <c r="EY73" s="66"/>
      <c r="EZ73" s="66"/>
      <c r="FA73" s="66"/>
      <c r="FB73" s="66"/>
      <c r="FC73" s="66"/>
      <c r="FD73" s="66"/>
      <c r="FE73" s="66"/>
      <c r="FF73" s="66"/>
      <c r="FG73" s="66"/>
      <c r="FH73" s="66"/>
      <c r="FI73" s="66"/>
      <c r="FJ73" s="76"/>
      <c r="FK73" s="78" t="str">
        <f t="shared" si="10"/>
        <v>USD - Cuenta de Cuadre Pasivo</v>
      </c>
      <c r="FL73" s="79">
        <v>0</v>
      </c>
      <c r="FM73" s="79">
        <v>0</v>
      </c>
      <c r="FN73" s="79">
        <v>0</v>
      </c>
      <c r="FO73" s="79">
        <v>0</v>
      </c>
      <c r="FP73" s="79">
        <v>0</v>
      </c>
      <c r="FQ73" s="79">
        <v>0</v>
      </c>
      <c r="FR73" s="79">
        <v>0</v>
      </c>
      <c r="FS73" s="79">
        <v>0</v>
      </c>
      <c r="FT73" s="79">
        <v>0</v>
      </c>
      <c r="FU73" s="79">
        <v>0</v>
      </c>
      <c r="FV73" s="79">
        <v>0</v>
      </c>
      <c r="FW73" s="79">
        <v>0</v>
      </c>
      <c r="FX73" s="66"/>
      <c r="FY73" s="76"/>
      <c r="FZ73" s="78" t="str">
        <f t="shared" si="11"/>
        <v>USD - Cuenta de Cuadre Pasivo</v>
      </c>
      <c r="GA73" s="79" t="s">
        <v>338</v>
      </c>
      <c r="GB73" s="79" t="s">
        <v>338</v>
      </c>
      <c r="GC73" s="79" t="s">
        <v>338</v>
      </c>
      <c r="GD73" s="79" t="s">
        <v>338</v>
      </c>
      <c r="GE73" s="79" t="s">
        <v>338</v>
      </c>
      <c r="GF73" s="79" t="s">
        <v>338</v>
      </c>
      <c r="GG73" s="79" t="s">
        <v>338</v>
      </c>
      <c r="GH73" s="79" t="s">
        <v>338</v>
      </c>
      <c r="GI73" s="79" t="s">
        <v>338</v>
      </c>
      <c r="GJ73" s="79" t="s">
        <v>338</v>
      </c>
      <c r="GK73" s="79" t="s">
        <v>338</v>
      </c>
      <c r="GL73" s="79" t="s">
        <v>338</v>
      </c>
    </row>
  </sheetData>
  <mergeCells count="1">
    <mergeCell ref="A6:GL9"/>
  </mergeCells>
  <pageMargins left="0.7" right="0.7" top="0.75" bottom="0.75" header="0" footer="0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Instructions</vt:lpstr>
      <vt:lpstr>NMDSetup</vt:lpstr>
      <vt:lpstr>NMD Base</vt:lpstr>
      <vt:lpstr>PPSetup</vt:lpstr>
      <vt:lpstr>PP Base</vt:lpstr>
      <vt:lpstr>NBSetup</vt:lpstr>
      <vt:lpstr>New 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 Almonacid Capote</dc:creator>
  <cp:lastModifiedBy>Rodrigo Sanz Monreal</cp:lastModifiedBy>
  <dcterms:created xsi:type="dcterms:W3CDTF">2025-12-01T17:21:57Z</dcterms:created>
  <dcterms:modified xsi:type="dcterms:W3CDTF">2026-02-19T17:41:55Z</dcterms:modified>
</cp:coreProperties>
</file>