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2025008413\Desktop\ALM\26-02-19_CierreDummy\"/>
    </mc:Choice>
  </mc:AlternateContent>
  <xr:revisionPtr revIDLastSave="0" documentId="13_ncr:1_{D4F28183-B5AC-4DA6-9F34-758C6917E539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Instructions" sheetId="1" r:id="rId1"/>
    <sheet name="CapFloorSetup" sheetId="2" r:id="rId2"/>
    <sheet name="Cap_Floor" sheetId="3" r:id="rId3"/>
    <sheet name="RatesSetup" sheetId="5" r:id="rId4"/>
    <sheet name="Base" sheetId="4" r:id="rId5"/>
    <sheet name="Up100" sheetId="6" r:id="rId6"/>
    <sheet name="Dwn100" sheetId="7" r:id="rId7"/>
    <sheet name="Up200" sheetId="8" r:id="rId8"/>
    <sheet name="Dwn200" sheetId="9" r:id="rId9"/>
    <sheet name="Up400" sheetId="10" r:id="rId10"/>
    <sheet name="Dwn400" sheetId="11" r:id="rId11"/>
    <sheet name="IndexSetup" sheetId="20" r:id="rId12"/>
    <sheet name="Idx_Base" sheetId="21" r:id="rId13"/>
  </sheets>
  <definedNames>
    <definedName name="_xlpm.rango">#NAME?</definedName>
    <definedName name="_xlpm.vals">#NAME?</definedName>
    <definedName name="ARSEUR">#REF!</definedName>
    <definedName name="ARSEUR_FWD">#REF!</definedName>
    <definedName name="COPEUR">#REF!</definedName>
    <definedName name="COPEUR_FWD">#REF!</definedName>
    <definedName name="ExBottomCurve">#REF!</definedName>
    <definedName name="ExCapitalDiv">#REF!</definedName>
    <definedName name="ExCapitalIndividual">#REF!</definedName>
    <definedName name="ExCorrelaciones">#REF!</definedName>
    <definedName name="ExCorrInput">#REF!</definedName>
    <definedName name="ExDescomp">#REF!</definedName>
    <definedName name="ExDiscretization">#REF!</definedName>
    <definedName name="ExDivParams">#REF!</definedName>
    <definedName name="ExDivParams_MER">#REF!</definedName>
    <definedName name="ExExplica">#REF!</definedName>
    <definedName name="ExExplicaTotal">#REF!</definedName>
    <definedName name="ExForwards">#REF!</definedName>
    <definedName name="ExFuentesRiesgo">#REF!</definedName>
    <definedName name="ExGraficoCE_1">#REF!</definedName>
    <definedName name="ExGraficoCE_2">#REF!</definedName>
    <definedName name="ExGraficoMER_1">#REF!</definedName>
    <definedName name="ExGraficoMER_2">#REF!</definedName>
    <definedName name="ExImpactosDiv">#REF!</definedName>
    <definedName name="ExImpactosDiv_MER">#REF!</definedName>
    <definedName name="ExImpactosIndividuales">#REF!</definedName>
    <definedName name="ExImpactosIndividuales_MER">#REF!</definedName>
    <definedName name="ExImpactosStress">#REF!</definedName>
    <definedName name="ExImpactosStress_EAR">#REF!</definedName>
    <definedName name="ExImpactosStress_MER">#REF!</definedName>
    <definedName name="ExIndParams">#REF!</definedName>
    <definedName name="ExIndParams_MER">#REF!</definedName>
    <definedName name="ExListCurves">#REF!</definedName>
    <definedName name="ExMERDiv">#REF!</definedName>
    <definedName name="ExMERIndividual">#REF!</definedName>
    <definedName name="ExNewCurves">#REF!</definedName>
    <definedName name="ExOutputs">#REF!</definedName>
    <definedName name="ExOutputsEAR">#REF!</definedName>
    <definedName name="ExOutputsStress">#REF!</definedName>
    <definedName name="ExOutputsStress2">#REF!</definedName>
    <definedName name="ExOutputsStress2_EAR">#REF!</definedName>
    <definedName name="ExOutputsStress2_MER">#REF!</definedName>
    <definedName name="ExOutputsStressMER">#REF!</definedName>
    <definedName name="ExPercDiv">#REF!</definedName>
    <definedName name="ExPercDiv_MER">#REF!</definedName>
    <definedName name="ExPercIndividual">#REF!</definedName>
    <definedName name="ExPercIndividual_MER">#REF!</definedName>
    <definedName name="ExProgramFiles">#REF!</definedName>
    <definedName name="ExResumen">#REF!</definedName>
    <definedName name="ExStress_EAR">#REF!</definedName>
    <definedName name="ExStress_MER">#REF!</definedName>
    <definedName name="ExStressParams">#REF!</definedName>
    <definedName name="ExStressParams_EAR">#REF!</definedName>
    <definedName name="ExStressParams_MER">#REF!</definedName>
    <definedName name="ExStressValor">#REF!</definedName>
    <definedName name="ExVentanas">#REF!</definedName>
    <definedName name="ExVolFunction">#REF!</definedName>
    <definedName name="MXNEUR">#REF!</definedName>
    <definedName name="MXNEUR_FWD">#REF!</definedName>
    <definedName name="PENEUR">#REF!</definedName>
    <definedName name="PENEUR_FWD">#REF!</definedName>
    <definedName name="TRYEUR">#REF!</definedName>
    <definedName name="TRYEUR_FWD">#REF!</definedName>
    <definedName name="UNIDA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pJhEmy98mL+kJSkURdDmn+SiNQev33bdc+SJVGw97/E="/>
    </ext>
  </extLst>
</workbook>
</file>

<file path=xl/calcChain.xml><?xml version="1.0" encoding="utf-8"?>
<calcChain xmlns="http://schemas.openxmlformats.org/spreadsheetml/2006/main">
  <c r="F70" i="11" l="1"/>
  <c r="C70" i="11"/>
  <c r="F69" i="11"/>
  <c r="C69" i="11"/>
  <c r="F68" i="11"/>
  <c r="C68" i="11"/>
  <c r="F67" i="11"/>
  <c r="C67" i="11"/>
  <c r="F66" i="11"/>
  <c r="C66" i="11"/>
  <c r="F65" i="11"/>
  <c r="C65" i="11"/>
  <c r="F64" i="11"/>
  <c r="C64" i="11"/>
  <c r="F63" i="11"/>
  <c r="C63" i="11"/>
  <c r="F62" i="11"/>
  <c r="C62" i="11"/>
  <c r="F61" i="11"/>
  <c r="C61" i="11"/>
  <c r="F60" i="11"/>
  <c r="C60" i="11"/>
  <c r="F59" i="11"/>
  <c r="C59" i="11"/>
  <c r="F58" i="11"/>
  <c r="C58" i="11"/>
  <c r="F57" i="11"/>
  <c r="C57" i="11"/>
  <c r="F56" i="11"/>
  <c r="C56" i="11"/>
  <c r="F55" i="11"/>
  <c r="C55" i="11"/>
  <c r="F54" i="11"/>
  <c r="C54" i="11"/>
  <c r="F53" i="11"/>
  <c r="C53" i="11"/>
  <c r="F52" i="11"/>
  <c r="C52" i="11"/>
  <c r="F51" i="11"/>
  <c r="C51" i="11"/>
  <c r="F50" i="11"/>
  <c r="C50" i="11"/>
  <c r="F49" i="11"/>
  <c r="C49" i="11"/>
  <c r="F48" i="11"/>
  <c r="C48" i="11"/>
  <c r="F47" i="11"/>
  <c r="C47" i="11"/>
  <c r="F46" i="11"/>
  <c r="C46" i="11"/>
  <c r="F45" i="11"/>
  <c r="C45" i="11"/>
  <c r="F44" i="11"/>
  <c r="C44" i="11"/>
  <c r="F43" i="11"/>
  <c r="C43" i="11"/>
  <c r="F42" i="11"/>
  <c r="F70" i="10"/>
  <c r="C70" i="10"/>
  <c r="F69" i="10"/>
  <c r="C69" i="10"/>
  <c r="F68" i="10"/>
  <c r="C68" i="10"/>
  <c r="F67" i="10"/>
  <c r="C67" i="10"/>
  <c r="F66" i="10"/>
  <c r="C66" i="10"/>
  <c r="F65" i="10"/>
  <c r="C65" i="10"/>
  <c r="F64" i="10"/>
  <c r="C64" i="10"/>
  <c r="F63" i="10"/>
  <c r="C63" i="10"/>
  <c r="F62" i="10"/>
  <c r="C62" i="10"/>
  <c r="F61" i="10"/>
  <c r="C61" i="10"/>
  <c r="F60" i="10"/>
  <c r="C60" i="10"/>
  <c r="F59" i="10"/>
  <c r="C59" i="10"/>
  <c r="F58" i="10"/>
  <c r="C58" i="10"/>
  <c r="F57" i="10"/>
  <c r="C57" i="10"/>
  <c r="F56" i="10"/>
  <c r="C56" i="10"/>
  <c r="F55" i="10"/>
  <c r="C55" i="10"/>
  <c r="F54" i="10"/>
  <c r="C54" i="10"/>
  <c r="F53" i="10"/>
  <c r="C53" i="10"/>
  <c r="F52" i="10"/>
  <c r="C52" i="10"/>
  <c r="F51" i="10"/>
  <c r="C51" i="10"/>
  <c r="F50" i="10"/>
  <c r="C50" i="10"/>
  <c r="F49" i="10"/>
  <c r="C49" i="10"/>
  <c r="F48" i="10"/>
  <c r="C48" i="10"/>
  <c r="F47" i="10"/>
  <c r="C47" i="10"/>
  <c r="F46" i="10"/>
  <c r="C46" i="10"/>
  <c r="F45" i="10"/>
  <c r="C45" i="10"/>
  <c r="F44" i="10"/>
  <c r="C44" i="10"/>
  <c r="F43" i="10"/>
  <c r="C43" i="10"/>
  <c r="F42" i="10"/>
  <c r="F70" i="9"/>
  <c r="C70" i="9"/>
  <c r="F69" i="9"/>
  <c r="C69" i="9"/>
  <c r="F68" i="9"/>
  <c r="C68" i="9"/>
  <c r="F67" i="9"/>
  <c r="C67" i="9"/>
  <c r="F66" i="9"/>
  <c r="C66" i="9"/>
  <c r="F65" i="9"/>
  <c r="C65" i="9"/>
  <c r="F64" i="9"/>
  <c r="C64" i="9"/>
  <c r="F63" i="9"/>
  <c r="C63" i="9"/>
  <c r="F62" i="9"/>
  <c r="C62" i="9"/>
  <c r="F61" i="9"/>
  <c r="C61" i="9"/>
  <c r="F60" i="9"/>
  <c r="C60" i="9"/>
  <c r="F59" i="9"/>
  <c r="C59" i="9"/>
  <c r="F58" i="9"/>
  <c r="C58" i="9"/>
  <c r="F57" i="9"/>
  <c r="C57" i="9"/>
  <c r="F56" i="9"/>
  <c r="C56" i="9"/>
  <c r="F55" i="9"/>
  <c r="C55" i="9"/>
  <c r="F54" i="9"/>
  <c r="C54" i="9"/>
  <c r="F53" i="9"/>
  <c r="C53" i="9"/>
  <c r="F52" i="9"/>
  <c r="C52" i="9"/>
  <c r="F51" i="9"/>
  <c r="C51" i="9"/>
  <c r="F50" i="9"/>
  <c r="C50" i="9"/>
  <c r="F49" i="9"/>
  <c r="C49" i="9"/>
  <c r="F48" i="9"/>
  <c r="C48" i="9"/>
  <c r="F47" i="9"/>
  <c r="C47" i="9"/>
  <c r="F46" i="9"/>
  <c r="C46" i="9"/>
  <c r="F45" i="9"/>
  <c r="C45" i="9"/>
  <c r="F44" i="9"/>
  <c r="C44" i="9"/>
  <c r="F43" i="9"/>
  <c r="C43" i="9"/>
  <c r="F42" i="9"/>
  <c r="F70" i="8"/>
  <c r="C70" i="8"/>
  <c r="F69" i="8"/>
  <c r="C69" i="8"/>
  <c r="F68" i="8"/>
  <c r="C68" i="8"/>
  <c r="F67" i="8"/>
  <c r="C67" i="8"/>
  <c r="F66" i="8"/>
  <c r="C66" i="8"/>
  <c r="F65" i="8"/>
  <c r="C65" i="8"/>
  <c r="F64" i="8"/>
  <c r="C64" i="8"/>
  <c r="F63" i="8"/>
  <c r="C63" i="8"/>
  <c r="F62" i="8"/>
  <c r="C62" i="8"/>
  <c r="F61" i="8"/>
  <c r="C61" i="8"/>
  <c r="F60" i="8"/>
  <c r="C60" i="8"/>
  <c r="F59" i="8"/>
  <c r="C59" i="8"/>
  <c r="F58" i="8"/>
  <c r="C58" i="8"/>
  <c r="F57" i="8"/>
  <c r="C57" i="8"/>
  <c r="F56" i="8"/>
  <c r="C56" i="8"/>
  <c r="F55" i="8"/>
  <c r="C55" i="8"/>
  <c r="F54" i="8"/>
  <c r="C54" i="8"/>
  <c r="F53" i="8"/>
  <c r="C53" i="8"/>
  <c r="F52" i="8"/>
  <c r="C52" i="8"/>
  <c r="F51" i="8"/>
  <c r="C51" i="8"/>
  <c r="F50" i="8"/>
  <c r="C50" i="8"/>
  <c r="F49" i="8"/>
  <c r="C49" i="8"/>
  <c r="F48" i="8"/>
  <c r="C48" i="8"/>
  <c r="F47" i="8"/>
  <c r="C47" i="8"/>
  <c r="F46" i="8"/>
  <c r="C46" i="8"/>
  <c r="F45" i="8"/>
  <c r="C45" i="8"/>
  <c r="F44" i="8"/>
  <c r="C44" i="8"/>
  <c r="F43" i="8"/>
  <c r="C43" i="8"/>
  <c r="F42" i="8"/>
  <c r="F70" i="7"/>
  <c r="C70" i="7"/>
  <c r="F69" i="7"/>
  <c r="C69" i="7"/>
  <c r="F68" i="7"/>
  <c r="C68" i="7"/>
  <c r="F67" i="7"/>
  <c r="C67" i="7"/>
  <c r="F66" i="7"/>
  <c r="C66" i="7"/>
  <c r="F65" i="7"/>
  <c r="C65" i="7"/>
  <c r="F64" i="7"/>
  <c r="C64" i="7"/>
  <c r="F63" i="7"/>
  <c r="C63" i="7"/>
  <c r="F62" i="7"/>
  <c r="C62" i="7"/>
  <c r="F61" i="7"/>
  <c r="C61" i="7"/>
  <c r="F60" i="7"/>
  <c r="C60" i="7"/>
  <c r="F59" i="7"/>
  <c r="C59" i="7"/>
  <c r="F58" i="7"/>
  <c r="C58" i="7"/>
  <c r="F57" i="7"/>
  <c r="C57" i="7"/>
  <c r="F56" i="7"/>
  <c r="C56" i="7"/>
  <c r="F55" i="7"/>
  <c r="C55" i="7"/>
  <c r="F54" i="7"/>
  <c r="C54" i="7"/>
  <c r="F53" i="7"/>
  <c r="C53" i="7"/>
  <c r="F52" i="7"/>
  <c r="C52" i="7"/>
  <c r="F51" i="7"/>
  <c r="C51" i="7"/>
  <c r="F50" i="7"/>
  <c r="C50" i="7"/>
  <c r="F49" i="7"/>
  <c r="C49" i="7"/>
  <c r="F48" i="7"/>
  <c r="C48" i="7"/>
  <c r="F47" i="7"/>
  <c r="C47" i="7"/>
  <c r="F46" i="7"/>
  <c r="C46" i="7"/>
  <c r="F45" i="7"/>
  <c r="C45" i="7"/>
  <c r="F44" i="7"/>
  <c r="C44" i="7"/>
  <c r="F43" i="7"/>
  <c r="C43" i="7"/>
  <c r="F42" i="7"/>
  <c r="F70" i="6"/>
  <c r="C70" i="6"/>
  <c r="F69" i="6"/>
  <c r="C69" i="6"/>
  <c r="F68" i="6"/>
  <c r="C68" i="6"/>
  <c r="F67" i="6"/>
  <c r="C67" i="6"/>
  <c r="F66" i="6"/>
  <c r="C66" i="6"/>
  <c r="F65" i="6"/>
  <c r="C65" i="6"/>
  <c r="F64" i="6"/>
  <c r="C64" i="6"/>
  <c r="F63" i="6"/>
  <c r="C63" i="6"/>
  <c r="F62" i="6"/>
  <c r="C62" i="6"/>
  <c r="F61" i="6"/>
  <c r="C61" i="6"/>
  <c r="F60" i="6"/>
  <c r="C60" i="6"/>
  <c r="F59" i="6"/>
  <c r="C59" i="6"/>
  <c r="F58" i="6"/>
  <c r="C58" i="6"/>
  <c r="F57" i="6"/>
  <c r="C57" i="6"/>
  <c r="F56" i="6"/>
  <c r="C56" i="6"/>
  <c r="F55" i="6"/>
  <c r="C55" i="6"/>
  <c r="F54" i="6"/>
  <c r="C54" i="6"/>
  <c r="F53" i="6"/>
  <c r="C53" i="6"/>
  <c r="F52" i="6"/>
  <c r="C52" i="6"/>
  <c r="F51" i="6"/>
  <c r="C51" i="6"/>
  <c r="F50" i="6"/>
  <c r="C50" i="6"/>
  <c r="F49" i="6"/>
  <c r="C49" i="6"/>
  <c r="F48" i="6"/>
  <c r="C48" i="6"/>
  <c r="F47" i="6"/>
  <c r="C47" i="6"/>
  <c r="F46" i="6"/>
  <c r="C46" i="6"/>
  <c r="F45" i="6"/>
  <c r="C45" i="6"/>
  <c r="F44" i="6"/>
  <c r="C44" i="6"/>
  <c r="F43" i="6"/>
  <c r="C43" i="6"/>
  <c r="F42" i="6"/>
  <c r="G5" i="5"/>
  <c r="H5" i="5" s="1"/>
  <c r="I5" i="5" s="1"/>
  <c r="J5" i="5" s="1"/>
  <c r="E5" i="5"/>
  <c r="F5" i="5" s="1"/>
  <c r="E4" i="5"/>
  <c r="F4" i="5" s="1"/>
  <c r="G4" i="5" s="1"/>
  <c r="H4" i="5" s="1"/>
  <c r="I4" i="5" s="1"/>
  <c r="J4" i="5" s="1"/>
  <c r="J3" i="5"/>
  <c r="I3" i="5"/>
  <c r="H3" i="5"/>
  <c r="G3" i="5"/>
  <c r="F3" i="5"/>
  <c r="E3" i="5"/>
  <c r="F42" i="4"/>
</calcChain>
</file>

<file path=xl/sharedStrings.xml><?xml version="1.0" encoding="utf-8"?>
<sst xmlns="http://schemas.openxmlformats.org/spreadsheetml/2006/main" count="491" uniqueCount="67">
  <si>
    <t>SETUP SHEETS</t>
  </si>
  <si>
    <t>Names of setup sheets must not be modified. Unnecessary sheets can be deleted</t>
  </si>
  <si>
    <t>Adding columns on the left and rows on the top is forbidden</t>
  </si>
  <si>
    <t>Data coordinates must contain the whole matrix. with its header row and column. it does not matter if they have data or not</t>
  </si>
  <si>
    <t>Do not include title rows or columns in data coordinates</t>
  </si>
  <si>
    <t>Be careful with matrix coordinates</t>
  </si>
  <si>
    <t xml:space="preserve">First matrix coordinates  must always be in cell D4 </t>
  </si>
  <si>
    <t>DATA SHEETS</t>
  </si>
  <si>
    <t>Cell data should be consistent with data type</t>
  </si>
  <si>
    <t>Avoid adding links</t>
  </si>
  <si>
    <t>Set</t>
  </si>
  <si>
    <t>Base</t>
  </si>
  <si>
    <t>Data sheet</t>
  </si>
  <si>
    <t>Cap_Floor</t>
  </si>
  <si>
    <t>FLOOR_CRV_USD</t>
  </si>
  <si>
    <t>C10:E38</t>
  </si>
  <si>
    <t>PARAMETRIZACIÓN DE CAPS &amp; FLOORS</t>
  </si>
  <si>
    <t>CAP&amp;FLOOR</t>
  </si>
  <si>
    <t>CAP</t>
  </si>
  <si>
    <t>FLOOR</t>
  </si>
  <si>
    <t>3M</t>
  </si>
  <si>
    <t>6M</t>
  </si>
  <si>
    <t>9M</t>
  </si>
  <si>
    <t>12M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</si>
  <si>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</si>
  <si>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</si>
  <si>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</si>
  <si>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</si>
  <si>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</si>
  <si>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</si>
  <si>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</si>
  <si>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</si>
  <si>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</si>
  <si>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</si>
  <si>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</si>
  <si>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13Y</t>
  </si>
  <si>
    <t>14Y</t>
  </si>
  <si>
    <t>15Y</t>
  </si>
  <si>
    <t>16Y</t>
  </si>
  <si>
    <t>17Y</t>
  </si>
  <si>
    <t>18Y</t>
  </si>
  <si>
    <t>19Y</t>
  </si>
  <si>
    <t>20Y</t>
  </si>
  <si>
    <t>21Y</t>
  </si>
  <si>
    <t>22Y</t>
  </si>
  <si>
    <t>23Y</t>
  </si>
  <si>
    <t>24Y</t>
  </si>
  <si>
    <t>25Y</t>
  </si>
  <si>
    <t>FORWARD CURVES</t>
  </si>
  <si>
    <t>PAR CURVES</t>
  </si>
  <si>
    <t>CRV_ARS</t>
  </si>
  <si>
    <t>CRV_USD</t>
  </si>
  <si>
    <t>Up100</t>
  </si>
  <si>
    <t>Dwn100</t>
  </si>
  <si>
    <t>Up200</t>
  </si>
  <si>
    <t>Dwn200</t>
  </si>
  <si>
    <t>Up400</t>
  </si>
  <si>
    <t>Dwn400</t>
  </si>
  <si>
    <t>B42:C70</t>
  </si>
  <si>
    <t>E42:F70</t>
  </si>
  <si>
    <t>1M</t>
  </si>
  <si>
    <t>IndexBase</t>
  </si>
  <si>
    <t>Idx_Base</t>
  </si>
  <si>
    <t>NOGROWTH</t>
  </si>
  <si>
    <t>B6:C7</t>
  </si>
  <si>
    <t>INDEX_1</t>
  </si>
  <si>
    <t>CRV_MXN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</si>
</sst>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0.000"/>
    <numFmt numFmtId="166" formatCode="0.000000"/>
    <numFmt numFmtId="167" formatCode="0.0000%"/>
    <numFmt numFmtId="168" formatCode="0.0000000"/>
  </numFmts>
  <fonts count="20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Arial"/>
    </font>
    <font>
      <i/>
      <sz val="11"/>
      <color rgb="FFFFFFFF"/>
      <name val="Calibri"/>
    </font>
    <font>
      <i/>
      <sz val="11"/>
      <color rgb="FF000000"/>
      <name val="Calibri"/>
    </font>
    <font>
      <sz val="11"/>
      <color rgb="FFFFFFFF"/>
      <name val="Calibri"/>
    </font>
    <font>
      <sz val="11"/>
      <color theme="1"/>
      <name val="Arial"/>
    </font>
    <font>
      <b/>
      <sz val="20"/>
      <color rgb="FFFFFFFF"/>
      <name val="Calibri"/>
    </font>
    <font>
      <sz val="10"/>
      <name val="Arial"/>
    </font>
    <font>
      <b/>
      <sz val="11"/>
      <color theme="1"/>
      <name val="Calibri"/>
    </font>
    <font>
      <b/>
      <sz val="11"/>
      <color theme="1"/>
      <name val="Arial"/>
    </font>
    <font>
      <sz val="12"/>
      <color rgb="FFFFFFFF"/>
      <name val="Arial"/>
    </font>
    <font>
      <sz val="11"/>
      <color rgb="FF000000"/>
      <name val="Arial"/>
    </font>
    <font>
      <sz val="11"/>
      <color rgb="FFFFFFFF"/>
      <name val="Arial"/>
    </font>
    <font>
      <b/>
      <sz val="11"/>
      <color theme="0"/>
      <name val="Arial"/>
    </font>
    <font>
      <b/>
      <sz val="10"/>
      <color theme="0"/>
      <name val="Arial"/>
    </font>
    <font>
      <sz val="9"/>
      <color theme="1"/>
      <name val="Arial"/>
    </font>
    <font>
      <sz val="10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CA545D"/>
        <bgColor rgb="FFCA545D"/>
      </patternFill>
    </fill>
    <fill>
      <patternFill patternType="solid">
        <fgColor rgb="FF4F6128"/>
        <bgColor rgb="FF4F6128"/>
      </patternFill>
    </fill>
    <fill>
      <patternFill patternType="solid">
        <fgColor rgb="FFC2D69B"/>
        <bgColor rgb="FFC2D69B"/>
      </patternFill>
    </fill>
    <fill>
      <patternFill patternType="solid">
        <fgColor rgb="FFFD8127"/>
        <bgColor rgb="FFFD8127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5BCE7"/>
        <bgColor rgb="FF75BCE7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FD812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4F6128"/>
      </patternFill>
    </fill>
    <fill>
      <patternFill patternType="solid">
        <fgColor theme="0"/>
        <bgColor rgb="FFC2D69B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7" fillId="5" borderId="1" xfId="0" applyFont="1" applyFill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" fontId="8" fillId="0" borderId="0" xfId="0" applyNumberFormat="1" applyFont="1"/>
    <xf numFmtId="0" fontId="8" fillId="6" borderId="1" xfId="0" applyFont="1" applyFill="1" applyBorder="1"/>
    <xf numFmtId="0" fontId="8" fillId="7" borderId="1" xfId="0" applyFont="1" applyFill="1" applyBorder="1"/>
    <xf numFmtId="0" fontId="2" fillId="5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8" fillId="0" borderId="0" xfId="0" applyNumberFormat="1" applyFont="1"/>
    <xf numFmtId="164" fontId="8" fillId="8" borderId="1" xfId="0" applyNumberFormat="1" applyFont="1" applyFill="1" applyBorder="1"/>
    <xf numFmtId="0" fontId="8" fillId="8" borderId="1" xfId="0" applyFont="1" applyFill="1" applyBorder="1"/>
    <xf numFmtId="3" fontId="12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10" fontId="1" fillId="9" borderId="1" xfId="0" applyNumberFormat="1" applyFont="1" applyFill="1" applyBorder="1" applyAlignment="1">
      <alignment horizontal="center"/>
    </xf>
    <xf numFmtId="9" fontId="8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/>
    <xf numFmtId="164" fontId="8" fillId="11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4" fontId="16" fillId="11" borderId="1" xfId="0" applyNumberFormat="1" applyFont="1" applyFill="1" applyBorder="1" applyAlignment="1">
      <alignment horizontal="center" vertical="center"/>
    </xf>
    <xf numFmtId="164" fontId="17" fillId="11" borderId="1" xfId="0" applyNumberFormat="1" applyFont="1" applyFill="1" applyBorder="1"/>
    <xf numFmtId="10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4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" fontId="14" fillId="11" borderId="1" xfId="0" applyNumberFormat="1" applyFont="1" applyFill="1" applyBorder="1" applyAlignment="1">
      <alignment horizontal="center" vertical="center"/>
    </xf>
    <xf numFmtId="10" fontId="8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0" fontId="14" fillId="8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0" fontId="18" fillId="0" borderId="0" xfId="0" applyNumberFormat="1" applyFont="1"/>
    <xf numFmtId="166" fontId="8" fillId="12" borderId="1" xfId="0" applyNumberFormat="1" applyFont="1" applyFill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7" fillId="11" borderId="10" xfId="0" applyNumberFormat="1" applyFont="1" applyFill="1" applyBorder="1"/>
    <xf numFmtId="4" fontId="8" fillId="12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/>
    </xf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9" fontId="3" fillId="0" borderId="0" xfId="0" applyNumberFormat="1" applyFont="1" applyAlignment="1">
      <alignment horizontal="right"/>
    </xf>
    <xf numFmtId="0" fontId="1" fillId="8" borderId="1" xfId="0" applyFont="1" applyFill="1" applyBorder="1"/>
    <xf numFmtId="0" fontId="11" fillId="8" borderId="1" xfId="0" applyFont="1" applyFill="1" applyBorder="1" applyAlignment="1">
      <alignment horizontal="center"/>
    </xf>
    <xf numFmtId="166" fontId="3" fillId="8" borderId="1" xfId="0" applyNumberFormat="1" applyFont="1" applyFill="1" applyBorder="1" applyAlignment="1">
      <alignment horizontal="right"/>
    </xf>
    <xf numFmtId="166" fontId="1" fillId="8" borderId="1" xfId="0" applyNumberFormat="1" applyFont="1" applyFill="1" applyBorder="1"/>
    <xf numFmtId="164" fontId="2" fillId="8" borderId="1" xfId="0" applyNumberFormat="1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right"/>
    </xf>
    <xf numFmtId="0" fontId="19" fillId="8" borderId="1" xfId="0" applyFont="1" applyFill="1" applyBorder="1"/>
    <xf numFmtId="168" fontId="1" fillId="8" borderId="1" xfId="0" applyNumberFormat="1" applyFont="1" applyFill="1" applyBorder="1" applyAlignment="1">
      <alignment horizontal="right"/>
    </xf>
    <xf numFmtId="0" fontId="9" fillId="6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0" fillId="0" borderId="0" xfId="0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1" fillId="7" borderId="2" xfId="0" applyFont="1" applyFill="1" applyBorder="1" applyAlignment="1">
      <alignment vertical="center"/>
    </xf>
    <xf numFmtId="0" fontId="13" fillId="10" borderId="2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/>
    </xf>
    <xf numFmtId="164" fontId="12" fillId="14" borderId="0" xfId="0" applyNumberFormat="1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3" fontId="12" fillId="14" borderId="0" xfId="0" applyNumberFormat="1" applyFont="1" applyFill="1" applyAlignment="1">
      <alignment horizontal="center" vertical="center"/>
    </xf>
    <xf numFmtId="167" fontId="4" fillId="14" borderId="0" xfId="0" applyNumberFormat="1" applyFont="1" applyFill="1"/>
    <xf numFmtId="166" fontId="8" fillId="15" borderId="1" xfId="0" applyNumberFormat="1" applyFont="1" applyFill="1" applyBorder="1" applyAlignment="1">
      <alignment horizontal="center" vertical="center"/>
    </xf>
    <xf numFmtId="167" fontId="18" fillId="14" borderId="0" xfId="0" applyNumberFormat="1" applyFont="1" applyFill="1"/>
    <xf numFmtId="1" fontId="12" fillId="14" borderId="0" xfId="0" applyNumberFormat="1" applyFont="1" applyFill="1" applyAlignment="1">
      <alignment horizontal="center" vertical="center"/>
    </xf>
    <xf numFmtId="0" fontId="7" fillId="13" borderId="1" xfId="0" applyFont="1" applyFill="1" applyBorder="1"/>
    <xf numFmtId="0" fontId="3" fillId="14" borderId="0" xfId="0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164" fontId="8" fillId="14" borderId="0" xfId="0" applyNumberFormat="1" applyFont="1" applyFill="1" applyAlignment="1">
      <alignment horizontal="center" vertical="center"/>
    </xf>
    <xf numFmtId="0" fontId="0" fillId="14" borderId="0" xfId="0" applyFill="1"/>
    <xf numFmtId="10" fontId="18" fillId="14" borderId="0" xfId="0" applyNumberFormat="1" applyFont="1" applyFill="1"/>
    <xf numFmtId="4" fontId="8" fillId="15" borderId="1" xfId="0" applyNumberFormat="1" applyFont="1" applyFill="1" applyBorder="1" applyAlignment="1">
      <alignment horizontal="center" vertical="center"/>
    </xf>
    <xf numFmtId="168" fontId="8" fillId="14" borderId="0" xfId="0" applyNumberFormat="1" applyFont="1" applyFill="1" applyAlignment="1">
      <alignment horizontal="center" vertical="center"/>
    </xf>
    <xf numFmtId="168" fontId="14" fillId="14" borderId="0" xfId="0" applyNumberFormat="1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3" fontId="8" fillId="14" borderId="0" xfId="0" applyNumberFormat="1" applyFont="1" applyFill="1" applyAlignment="1">
      <alignment horizontal="center" vertical="center"/>
    </xf>
    <xf numFmtId="0" fontId="1" fillId="14" borderId="9" xfId="0" applyFont="1" applyFill="1" applyBorder="1"/>
    <xf numFmtId="0" fontId="0" fillId="14" borderId="9" xfId="0" applyFill="1" applyBorder="1"/>
    <xf numFmtId="0" fontId="2" fillId="16" borderId="9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/>
    </xf>
    <xf numFmtId="0" fontId="1" fillId="17" borderId="9" xfId="0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114300</xdr:rowOff>
    </xdr:from>
    <xdr:ext cx="2362200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66675</xdr:rowOff>
    </xdr:from>
    <xdr:ext cx="3086100" cy="6477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95250</xdr:rowOff>
    </xdr:from>
    <xdr:ext cx="2238375" cy="466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22383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showGridLines="0" workbookViewId="0"/>
  </sheetViews>
  <sheetFormatPr baseColWidth="10" defaultColWidth="12.6328125" defaultRowHeight="15" customHeight="1" x14ac:dyDescent="0.25"/>
  <cols>
    <col min="1" max="1" width="103.453125" customWidth="1"/>
    <col min="2" max="21" width="91.08984375" customWidth="1"/>
    <col min="22" max="26" width="12.453125" customWidth="1"/>
  </cols>
  <sheetData>
    <row r="1" spans="1:21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35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3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35">
      <c r="A7" s="3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5">
      <c r="A8" s="3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35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35">
      <c r="A10" s="3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35">
      <c r="A11" s="1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35">
      <c r="A13" s="2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35">
      <c r="A14" s="3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3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showGridLines="0" workbookViewId="0"/>
  </sheetViews>
  <sheetFormatPr baseColWidth="10" defaultColWidth="12.6328125" defaultRowHeight="15" customHeight="1" x14ac:dyDescent="0.25"/>
  <cols>
    <col min="1" max="2" width="12.453125" customWidth="1"/>
    <col min="3" max="3" width="15.453125" customWidth="1"/>
    <col min="4" max="4" width="14" customWidth="1"/>
    <col min="5" max="26" width="12.453125" customWidth="1"/>
  </cols>
  <sheetData>
    <row r="1" spans="1:2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35">
      <c r="A2" s="1"/>
      <c r="B2" s="4"/>
      <c r="C2" s="5" t="s">
        <v>10</v>
      </c>
      <c r="D2" s="6" t="s">
        <v>11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35">
      <c r="A3" s="1"/>
      <c r="B3" s="1"/>
      <c r="C3" s="7" t="s">
        <v>12</v>
      </c>
      <c r="D3" s="8" t="s">
        <v>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 x14ac:dyDescent="0.35">
      <c r="A4" s="1"/>
      <c r="B4" s="1"/>
      <c r="C4" s="9" t="s">
        <v>14</v>
      </c>
      <c r="D4" s="10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 x14ac:dyDescent="0.35">
      <c r="A5" s="1"/>
      <c r="B5" s="1"/>
      <c r="C5" s="4"/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 x14ac:dyDescent="0.35">
      <c r="A6" s="1"/>
      <c r="B6" s="1"/>
      <c r="C6" s="4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customHeight="1" x14ac:dyDescent="0.35">
      <c r="A7" s="1"/>
      <c r="B7" s="1"/>
      <c r="C7" s="4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2.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2.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2.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.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.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1000"/>
  <sheetViews>
    <sheetView showGridLines="0" workbookViewId="0"/>
  </sheetViews>
  <sheetFormatPr baseColWidth="10" defaultColWidth="12.6328125" defaultRowHeight="15" customHeight="1" x14ac:dyDescent="0.25"/>
  <cols>
    <col min="1" max="1" width="6" customWidth="1"/>
    <col min="2" max="2" width="5.08984375" customWidth="1"/>
    <col min="3" max="3" width="29" customWidth="1"/>
    <col min="4" max="41" width="12.453125" customWidth="1"/>
  </cols>
  <sheetData>
    <row r="1" spans="1:41" ht="14" x14ac:dyDescent="0.3">
      <c r="A1" s="11"/>
      <c r="B1" s="12"/>
      <c r="C1" s="13"/>
      <c r="D1" s="1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 spans="1:41" ht="14" x14ac:dyDescent="0.3">
      <c r="A2" s="11"/>
      <c r="B2" s="12"/>
      <c r="C2" s="85" t="s">
        <v>16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7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 ht="14" x14ac:dyDescent="0.3">
      <c r="A3" s="11"/>
      <c r="B3" s="12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90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ht="14" x14ac:dyDescent="0.3">
      <c r="A4" s="11"/>
      <c r="B4" s="12"/>
      <c r="C4" s="88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90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ht="14" x14ac:dyDescent="0.3">
      <c r="A5" s="12"/>
      <c r="B5" s="12"/>
      <c r="C5" s="91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3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41" ht="1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ht="14" x14ac:dyDescent="0.3">
      <c r="A7" s="12"/>
      <c r="B7" s="12"/>
      <c r="C7" s="94" t="s">
        <v>17</v>
      </c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7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ht="14" x14ac:dyDescent="0.3">
      <c r="A8" s="12"/>
      <c r="B8" s="12"/>
      <c r="C8" s="91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3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spans="1:41" ht="15" customHeight="1" x14ac:dyDescent="0.35">
      <c r="A10" s="12"/>
      <c r="B10" s="12"/>
      <c r="C10" s="16" t="s">
        <v>14</v>
      </c>
      <c r="D10" s="16" t="s">
        <v>18</v>
      </c>
      <c r="E10" s="16" t="s">
        <v>19</v>
      </c>
      <c r="F10" s="12"/>
      <c r="G10" s="17"/>
      <c r="H10" s="17"/>
      <c r="I10" s="17"/>
      <c r="J10" s="12"/>
      <c r="K10" s="18"/>
      <c r="L10" s="12"/>
      <c r="M10" s="12"/>
      <c r="N10" s="12"/>
      <c r="O10" s="19"/>
      <c r="P10" s="20"/>
      <c r="Q10" s="20"/>
      <c r="R10" s="20"/>
      <c r="S10" s="19"/>
      <c r="T10" s="20"/>
      <c r="U10" s="20"/>
      <c r="V10" s="20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spans="1:41" ht="15" customHeight="1" x14ac:dyDescent="0.35">
      <c r="A11" s="12"/>
      <c r="B11" s="12"/>
      <c r="C11" s="21" t="s">
        <v>20</v>
      </c>
      <c r="D11" s="22">
        <v>1</v>
      </c>
      <c r="E11" s="23">
        <v>1E-4</v>
      </c>
      <c r="F11" s="12"/>
      <c r="G11" s="17"/>
      <c r="H11" s="22"/>
      <c r="I11" s="17"/>
      <c r="J11" s="12"/>
      <c r="K11" s="12"/>
      <c r="L11" s="24"/>
      <c r="M11" s="24"/>
      <c r="N11" s="12"/>
      <c r="O11" s="12"/>
      <c r="P11" s="24"/>
      <c r="Q11" s="24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1:41" ht="15" customHeight="1" x14ac:dyDescent="0.35">
      <c r="A12" s="12"/>
      <c r="B12" s="12"/>
      <c r="C12" s="21" t="s">
        <v>21</v>
      </c>
      <c r="D12" s="22">
        <v>1</v>
      </c>
      <c r="E12" s="23">
        <v>1E-4</v>
      </c>
      <c r="F12" s="12"/>
      <c r="G12" s="17"/>
      <c r="H12" s="22"/>
      <c r="I12" s="17"/>
      <c r="J12" s="12"/>
      <c r="K12" s="12"/>
      <c r="L12" s="24"/>
      <c r="M12" s="24"/>
      <c r="N12" s="12"/>
      <c r="O12" s="12"/>
      <c r="P12" s="24"/>
      <c r="Q12" s="24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1:41" ht="15" customHeight="1" x14ac:dyDescent="0.35">
      <c r="A13" s="12"/>
      <c r="B13" s="12"/>
      <c r="C13" s="21" t="s">
        <v>22</v>
      </c>
      <c r="D13" s="22">
        <v>1</v>
      </c>
      <c r="E13" s="23">
        <v>1E-4</v>
      </c>
      <c r="F13" s="12"/>
      <c r="G13" s="17"/>
      <c r="H13" s="22"/>
      <c r="I13" s="17"/>
      <c r="J13" s="12"/>
      <c r="K13" s="12"/>
      <c r="L13" s="24"/>
      <c r="M13" s="24"/>
      <c r="N13" s="12"/>
      <c r="O13" s="12"/>
      <c r="P13" s="24"/>
      <c r="Q13" s="24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ht="15" customHeight="1" x14ac:dyDescent="0.35">
      <c r="A14" s="12"/>
      <c r="B14" s="12"/>
      <c r="C14" s="21" t="s">
        <v>23</v>
      </c>
      <c r="D14" s="22">
        <v>1</v>
      </c>
      <c r="E14" s="23">
        <v>1E-4</v>
      </c>
      <c r="F14" s="12"/>
      <c r="G14" s="17"/>
      <c r="H14" s="22"/>
      <c r="I14" s="17"/>
      <c r="J14" s="12"/>
      <c r="K14" s="12"/>
      <c r="L14" s="24"/>
      <c r="M14" s="24"/>
      <c r="N14" s="12"/>
      <c r="O14" s="12"/>
      <c r="P14" s="24"/>
      <c r="Q14" s="24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1:41" ht="15" customHeight="1" x14ac:dyDescent="0.35">
      <c r="A15" s="12"/>
      <c r="B15" s="12"/>
      <c r="C15" s="25" t="s">
        <v>24</v>
      </c>
      <c r="D15" s="22">
        <v>1</v>
      </c>
      <c r="E15" s="23">
        <v>1E-4</v>
      </c>
      <c r="F15" s="12"/>
      <c r="G15" s="17"/>
      <c r="H15" s="22"/>
      <c r="I15" s="17"/>
      <c r="J15" s="12"/>
      <c r="K15" s="12"/>
      <c r="L15" s="24"/>
      <c r="M15" s="24"/>
      <c r="N15" s="12"/>
      <c r="O15" s="12"/>
      <c r="P15" s="24"/>
      <c r="Q15" s="24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1:41" ht="15" customHeight="1" x14ac:dyDescent="0.35">
      <c r="A16" s="12"/>
      <c r="B16" s="12"/>
      <c r="C16" s="25" t="s">
        <v>25</v>
      </c>
      <c r="D16" s="22">
        <v>1</v>
      </c>
      <c r="E16" s="23">
        <v>1E-4</v>
      </c>
      <c r="F16" s="12"/>
      <c r="G16" s="17"/>
      <c r="H16" s="22"/>
      <c r="I16" s="17"/>
      <c r="J16" s="12"/>
      <c r="K16" s="12"/>
      <c r="L16" s="24"/>
      <c r="M16" s="24"/>
      <c r="N16" s="12"/>
      <c r="O16" s="12"/>
      <c r="P16" s="24"/>
      <c r="Q16" s="2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1:41" ht="15" customHeight="1" x14ac:dyDescent="0.35">
      <c r="A17" s="12"/>
      <c r="B17" s="12"/>
      <c r="C17" s="25" t="s">
        <v>26</v>
      </c>
      <c r="D17" s="22">
        <v>1</v>
      </c>
      <c r="E17" s="23">
        <v>1E-4</v>
      </c>
      <c r="F17" s="12"/>
      <c r="G17" s="17"/>
      <c r="H17" s="22"/>
      <c r="I17" s="17"/>
      <c r="J17" s="12"/>
      <c r="K17" s="12"/>
      <c r="L17" s="24"/>
      <c r="M17" s="24"/>
      <c r="N17" s="12"/>
      <c r="O17" s="12"/>
      <c r="P17" s="24"/>
      <c r="Q17" s="2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ht="15" customHeight="1" x14ac:dyDescent="0.35">
      <c r="A18" s="12"/>
      <c r="B18" s="12"/>
      <c r="C18" s="25" t="s">
        <v>27</v>
      </c>
      <c r="D18" s="22">
        <v>1</v>
      </c>
      <c r="E18" s="23">
        <v>1E-4</v>
      </c>
      <c r="F18" s="12"/>
      <c r="G18" s="17"/>
      <c r="H18" s="22"/>
      <c r="I18" s="17"/>
      <c r="J18" s="12"/>
      <c r="K18" s="12"/>
      <c r="L18" s="24"/>
      <c r="M18" s="24"/>
      <c r="N18" s="12"/>
      <c r="O18" s="12"/>
      <c r="P18" s="24"/>
      <c r="Q18" s="2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1:41" ht="15" customHeight="1" x14ac:dyDescent="0.35">
      <c r="A19" s="12"/>
      <c r="B19" s="12"/>
      <c r="C19" s="25" t="s">
        <v>28</v>
      </c>
      <c r="D19" s="22">
        <v>1</v>
      </c>
      <c r="E19" s="23">
        <v>1E-4</v>
      </c>
      <c r="F19" s="12"/>
      <c r="G19" s="17"/>
      <c r="H19" s="22"/>
      <c r="I19" s="17"/>
      <c r="J19" s="12"/>
      <c r="K19" s="12"/>
      <c r="L19" s="24"/>
      <c r="M19" s="24"/>
      <c r="N19" s="12"/>
      <c r="O19" s="12"/>
      <c r="P19" s="24"/>
      <c r="Q19" s="24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5" customHeight="1" x14ac:dyDescent="0.35">
      <c r="A20" s="12"/>
      <c r="B20" s="12"/>
      <c r="C20" s="25" t="s">
        <v>29</v>
      </c>
      <c r="D20" s="22">
        <v>1</v>
      </c>
      <c r="E20" s="23">
        <v>1E-4</v>
      </c>
      <c r="F20" s="12"/>
      <c r="G20" s="17"/>
      <c r="H20" s="22"/>
      <c r="I20" s="17"/>
      <c r="J20" s="12"/>
      <c r="K20" s="12"/>
      <c r="L20" s="24"/>
      <c r="M20" s="24"/>
      <c r="N20" s="12"/>
      <c r="O20" s="12"/>
      <c r="P20" s="24"/>
      <c r="Q20" s="2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ht="15" customHeight="1" x14ac:dyDescent="0.35">
      <c r="A21" s="12"/>
      <c r="B21" s="12"/>
      <c r="C21" s="25" t="s">
        <v>30</v>
      </c>
      <c r="D21" s="22">
        <v>1</v>
      </c>
      <c r="E21" s="23">
        <v>1E-4</v>
      </c>
      <c r="F21" s="12"/>
      <c r="G21" s="17"/>
      <c r="H21" s="22"/>
      <c r="I21" s="17"/>
      <c r="J21" s="12"/>
      <c r="K21" s="12"/>
      <c r="L21" s="24"/>
      <c r="M21" s="24"/>
      <c r="N21" s="12"/>
      <c r="O21" s="12"/>
      <c r="P21" s="24"/>
      <c r="Q21" s="24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1:41" ht="15" customHeight="1" x14ac:dyDescent="0.35">
      <c r="A22" s="12"/>
      <c r="B22" s="12"/>
      <c r="C22" s="25" t="s">
        <v>31</v>
      </c>
      <c r="D22" s="22">
        <v>1</v>
      </c>
      <c r="E22" s="23">
        <v>1E-4</v>
      </c>
      <c r="F22" s="12"/>
      <c r="G22" s="17"/>
      <c r="H22" s="22"/>
      <c r="I22" s="17"/>
      <c r="J22" s="12"/>
      <c r="K22" s="12"/>
      <c r="L22" s="24"/>
      <c r="M22" s="24"/>
      <c r="N22" s="12"/>
      <c r="O22" s="12"/>
      <c r="P22" s="24"/>
      <c r="Q22" s="24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1:41" ht="15" customHeight="1" x14ac:dyDescent="0.35">
      <c r="A23" s="12"/>
      <c r="B23" s="12"/>
      <c r="C23" s="25" t="s">
        <v>32</v>
      </c>
      <c r="D23" s="22">
        <v>1</v>
      </c>
      <c r="E23" s="23">
        <v>1E-4</v>
      </c>
      <c r="F23" s="12"/>
      <c r="G23" s="17"/>
      <c r="H23" s="22"/>
      <c r="I23" s="17"/>
      <c r="J23" s="12"/>
      <c r="K23" s="12"/>
      <c r="L23" s="24"/>
      <c r="M23" s="24"/>
      <c r="N23" s="12"/>
      <c r="O23" s="12"/>
      <c r="P23" s="24"/>
      <c r="Q23" s="24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ht="15" customHeight="1" x14ac:dyDescent="0.35">
      <c r="A24" s="12"/>
      <c r="B24" s="12"/>
      <c r="C24" s="25" t="s">
        <v>33</v>
      </c>
      <c r="D24" s="22">
        <v>1</v>
      </c>
      <c r="E24" s="23">
        <v>1E-4</v>
      </c>
      <c r="F24" s="12"/>
      <c r="G24" s="17"/>
      <c r="H24" s="22"/>
      <c r="I24" s="17"/>
      <c r="J24" s="12"/>
      <c r="K24" s="12"/>
      <c r="L24" s="24"/>
      <c r="M24" s="24"/>
      <c r="N24" s="12"/>
      <c r="O24" s="12"/>
      <c r="P24" s="24"/>
      <c r="Q24" s="24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ht="15" customHeight="1" x14ac:dyDescent="0.35">
      <c r="A25" s="12"/>
      <c r="B25" s="12"/>
      <c r="C25" s="25" t="s">
        <v>34</v>
      </c>
      <c r="D25" s="22">
        <v>1</v>
      </c>
      <c r="E25" s="23">
        <v>1E-4</v>
      </c>
      <c r="F25" s="12"/>
      <c r="G25" s="17"/>
      <c r="H25" s="22"/>
      <c r="I25" s="17"/>
      <c r="J25" s="12"/>
      <c r="K25" s="12"/>
      <c r="L25" s="24"/>
      <c r="M25" s="24"/>
      <c r="N25" s="12"/>
      <c r="O25" s="12"/>
      <c r="P25" s="24"/>
      <c r="Q25" s="24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ht="15" customHeight="1" x14ac:dyDescent="0.35">
      <c r="A26" s="12"/>
      <c r="B26" s="12"/>
      <c r="C26" s="25" t="s">
        <v>35</v>
      </c>
      <c r="D26" s="22">
        <v>1</v>
      </c>
      <c r="E26" s="23">
        <v>1E-4</v>
      </c>
      <c r="F26" s="12"/>
      <c r="G26" s="17"/>
      <c r="H26" s="22"/>
      <c r="I26" s="17"/>
      <c r="J26" s="12"/>
      <c r="K26" s="12"/>
      <c r="L26" s="24"/>
      <c r="M26" s="24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 spans="1:41" ht="15" customHeight="1" x14ac:dyDescent="0.35">
      <c r="A27" s="12"/>
      <c r="B27" s="12"/>
      <c r="C27" s="25" t="s">
        <v>36</v>
      </c>
      <c r="D27" s="22">
        <v>1</v>
      </c>
      <c r="E27" s="23">
        <v>1E-4</v>
      </c>
      <c r="F27" s="12"/>
      <c r="G27" s="17"/>
      <c r="H27" s="22"/>
      <c r="I27" s="17"/>
      <c r="J27" s="12"/>
      <c r="K27" s="12"/>
      <c r="L27" s="24"/>
      <c r="M27" s="24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41" ht="15.75" customHeight="1" x14ac:dyDescent="0.35">
      <c r="A28" s="12"/>
      <c r="B28" s="12"/>
      <c r="C28" s="25" t="s">
        <v>37</v>
      </c>
      <c r="D28" s="22">
        <v>1</v>
      </c>
      <c r="E28" s="23">
        <v>1E-4</v>
      </c>
      <c r="F28" s="12"/>
      <c r="G28" s="17"/>
      <c r="H28" s="22"/>
      <c r="I28" s="17"/>
      <c r="J28" s="12"/>
      <c r="K28" s="12"/>
      <c r="L28" s="24"/>
      <c r="M28" s="24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1:41" ht="15.75" customHeight="1" x14ac:dyDescent="0.35">
      <c r="A29" s="12"/>
      <c r="B29" s="12"/>
      <c r="C29" s="25" t="s">
        <v>38</v>
      </c>
      <c r="D29" s="22">
        <v>1</v>
      </c>
      <c r="E29" s="23">
        <v>1E-4</v>
      </c>
      <c r="F29" s="12"/>
      <c r="G29" s="17"/>
      <c r="H29" s="22"/>
      <c r="I29" s="17"/>
      <c r="J29" s="12"/>
      <c r="K29" s="12"/>
      <c r="L29" s="24"/>
      <c r="M29" s="24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 spans="1:41" ht="15.75" customHeight="1" x14ac:dyDescent="0.35">
      <c r="A30" s="12"/>
      <c r="B30" s="12"/>
      <c r="C30" s="25" t="s">
        <v>39</v>
      </c>
      <c r="D30" s="22">
        <v>1</v>
      </c>
      <c r="E30" s="23">
        <v>1E-4</v>
      </c>
      <c r="F30" s="12"/>
      <c r="G30" s="17"/>
      <c r="H30" s="22"/>
      <c r="I30" s="17"/>
      <c r="J30" s="12"/>
      <c r="K30" s="12"/>
      <c r="L30" s="24"/>
      <c r="M30" s="24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1:41" ht="15.75" customHeight="1" x14ac:dyDescent="0.35">
      <c r="A31" s="12"/>
      <c r="B31" s="12"/>
      <c r="C31" s="25" t="s">
        <v>40</v>
      </c>
      <c r="D31" s="22">
        <v>1</v>
      </c>
      <c r="E31" s="23">
        <v>1E-4</v>
      </c>
      <c r="F31" s="12"/>
      <c r="G31" s="17"/>
      <c r="H31" s="22"/>
      <c r="I31" s="17"/>
      <c r="J31" s="12"/>
      <c r="K31" s="12"/>
      <c r="L31" s="24"/>
      <c r="M31" s="24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ht="15.75" customHeight="1" x14ac:dyDescent="0.35">
      <c r="A32" s="12"/>
      <c r="B32" s="12"/>
      <c r="C32" s="25" t="s">
        <v>41</v>
      </c>
      <c r="D32" s="22">
        <v>1</v>
      </c>
      <c r="E32" s="23">
        <v>1E-4</v>
      </c>
      <c r="F32" s="12"/>
      <c r="G32" s="17"/>
      <c r="H32" s="22"/>
      <c r="I32" s="17"/>
      <c r="J32" s="12"/>
      <c r="K32" s="12"/>
      <c r="L32" s="24"/>
      <c r="M32" s="24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1:41" ht="15.75" customHeight="1" x14ac:dyDescent="0.35">
      <c r="A33" s="12"/>
      <c r="B33" s="12"/>
      <c r="C33" s="25" t="s">
        <v>42</v>
      </c>
      <c r="D33" s="22">
        <v>1</v>
      </c>
      <c r="E33" s="23">
        <v>1E-4</v>
      </c>
      <c r="F33" s="12"/>
      <c r="G33" s="17"/>
      <c r="H33" s="22"/>
      <c r="I33" s="17"/>
      <c r="J33" s="12"/>
      <c r="K33" s="12"/>
      <c r="L33" s="24"/>
      <c r="M33" s="24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spans="1:41" ht="15.75" customHeight="1" x14ac:dyDescent="0.35">
      <c r="A34" s="12"/>
      <c r="B34" s="12"/>
      <c r="C34" s="25" t="s">
        <v>43</v>
      </c>
      <c r="D34" s="22">
        <v>1</v>
      </c>
      <c r="E34" s="23">
        <v>1E-4</v>
      </c>
      <c r="F34" s="12"/>
      <c r="G34" s="17"/>
      <c r="H34" s="22"/>
      <c r="I34" s="17"/>
      <c r="J34" s="12"/>
      <c r="K34" s="12"/>
      <c r="L34" s="24"/>
      <c r="M34" s="24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1:41" ht="15.75" customHeight="1" x14ac:dyDescent="0.35">
      <c r="A35" s="12"/>
      <c r="B35" s="12"/>
      <c r="C35" s="25" t="s">
        <v>44</v>
      </c>
      <c r="D35" s="22">
        <v>1</v>
      </c>
      <c r="E35" s="23">
        <v>1E-4</v>
      </c>
      <c r="F35" s="12"/>
      <c r="G35" s="17"/>
      <c r="H35" s="22"/>
      <c r="I35" s="17"/>
      <c r="J35" s="12"/>
      <c r="K35" s="12"/>
      <c r="L35" s="24"/>
      <c r="M35" s="24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ht="15.75" customHeight="1" x14ac:dyDescent="0.35">
      <c r="A36" s="12"/>
      <c r="B36" s="12"/>
      <c r="C36" s="25" t="s">
        <v>45</v>
      </c>
      <c r="D36" s="22">
        <v>1</v>
      </c>
      <c r="E36" s="23">
        <v>1E-4</v>
      </c>
      <c r="F36" s="12"/>
      <c r="G36" s="17"/>
      <c r="H36" s="22"/>
      <c r="I36" s="17"/>
      <c r="J36" s="12"/>
      <c r="K36" s="12"/>
      <c r="L36" s="24"/>
      <c r="M36" s="24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ht="15.75" customHeight="1" x14ac:dyDescent="0.35">
      <c r="A37" s="12"/>
      <c r="B37" s="12"/>
      <c r="C37" s="25" t="s">
        <v>46</v>
      </c>
      <c r="D37" s="22">
        <v>1</v>
      </c>
      <c r="E37" s="23">
        <v>1E-4</v>
      </c>
      <c r="F37" s="12"/>
      <c r="G37" s="17"/>
      <c r="H37" s="22"/>
      <c r="I37" s="17"/>
      <c r="J37" s="12"/>
      <c r="K37" s="12"/>
      <c r="L37" s="24"/>
      <c r="M37" s="24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1:41" ht="15.75" customHeight="1" x14ac:dyDescent="0.35">
      <c r="A38" s="12"/>
      <c r="B38" s="12"/>
      <c r="C38" s="25" t="s">
        <v>47</v>
      </c>
      <c r="D38" s="22">
        <v>1</v>
      </c>
      <c r="E38" s="23">
        <v>1E-4</v>
      </c>
      <c r="F38" s="12"/>
      <c r="G38" s="17"/>
      <c r="H38" s="22"/>
      <c r="I38" s="17"/>
      <c r="J38" s="12"/>
      <c r="K38" s="12"/>
      <c r="L38" s="24"/>
      <c r="M38" s="24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ht="15.75" customHeight="1" x14ac:dyDescent="0.35">
      <c r="A39" s="12"/>
      <c r="B39" s="12"/>
      <c r="C39" s="17"/>
      <c r="D39" s="22"/>
      <c r="E39" s="12"/>
      <c r="F39" s="12"/>
      <c r="G39" s="17"/>
      <c r="H39" s="22"/>
      <c r="I39" s="17"/>
      <c r="J39" s="12"/>
      <c r="K39" s="18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ht="15.75" customHeight="1" x14ac:dyDescent="0.35">
      <c r="A40" s="12"/>
      <c r="B40" s="12"/>
      <c r="C40" s="17"/>
      <c r="D40" s="22"/>
      <c r="E40" s="12"/>
      <c r="F40" s="12"/>
      <c r="G40" s="17"/>
      <c r="H40" s="22"/>
      <c r="I40" s="17"/>
      <c r="J40" s="12"/>
      <c r="K40" s="12"/>
      <c r="L40" s="24"/>
      <c r="M40" s="24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1:41" ht="15.75" customHeight="1" x14ac:dyDescent="0.35">
      <c r="A41" s="12"/>
      <c r="B41" s="12"/>
      <c r="C41" s="17"/>
      <c r="D41" s="22"/>
      <c r="E41" s="12"/>
      <c r="F41" s="12"/>
      <c r="G41" s="17"/>
      <c r="H41" s="22"/>
      <c r="I41" s="17"/>
      <c r="J41" s="12"/>
      <c r="K41" s="12"/>
      <c r="L41" s="24"/>
      <c r="M41" s="24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1:41" ht="15.75" customHeight="1" x14ac:dyDescent="0.3">
      <c r="A42" s="12"/>
      <c r="B42" s="12"/>
      <c r="C42" s="12"/>
      <c r="D42" s="24"/>
      <c r="E42" s="24"/>
      <c r="F42" s="12"/>
      <c r="G42" s="12"/>
      <c r="H42" s="24"/>
      <c r="I42" s="17"/>
      <c r="J42" s="12"/>
      <c r="K42" s="12"/>
      <c r="L42" s="24"/>
      <c r="M42" s="24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1:41" ht="15.75" customHeight="1" x14ac:dyDescent="0.3">
      <c r="A43" s="12"/>
      <c r="B43" s="12"/>
      <c r="C43" s="12"/>
      <c r="D43" s="24"/>
      <c r="E43" s="24"/>
      <c r="F43" s="12"/>
      <c r="G43" s="12"/>
      <c r="H43" s="24"/>
      <c r="I43" s="17"/>
      <c r="J43" s="12"/>
      <c r="K43" s="12"/>
      <c r="L43" s="24"/>
      <c r="M43" s="24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ht="15.75" customHeight="1" x14ac:dyDescent="0.3">
      <c r="A44" s="12"/>
      <c r="B44" s="12"/>
      <c r="C44" s="12"/>
      <c r="D44" s="24"/>
      <c r="E44" s="24"/>
      <c r="F44" s="12"/>
      <c r="G44" s="12"/>
      <c r="H44" s="24"/>
      <c r="I44" s="17"/>
      <c r="J44" s="12"/>
      <c r="K44" s="12"/>
      <c r="L44" s="24"/>
      <c r="M44" s="24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ht="15.75" customHeight="1" x14ac:dyDescent="0.3">
      <c r="A45" s="12"/>
      <c r="B45" s="12"/>
      <c r="C45" s="12"/>
      <c r="D45" s="24"/>
      <c r="E45" s="24"/>
      <c r="F45" s="12"/>
      <c r="G45" s="12"/>
      <c r="H45" s="24"/>
      <c r="I45" s="17"/>
      <c r="J45" s="12"/>
      <c r="K45" s="12"/>
      <c r="L45" s="24"/>
      <c r="M45" s="24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ht="15.75" customHeight="1" x14ac:dyDescent="0.3">
      <c r="A46" s="12"/>
      <c r="B46" s="12"/>
      <c r="C46" s="12"/>
      <c r="D46" s="24"/>
      <c r="E46" s="24"/>
      <c r="F46" s="12"/>
      <c r="G46" s="12"/>
      <c r="H46" s="24"/>
      <c r="I46" s="17"/>
      <c r="J46" s="12"/>
      <c r="K46" s="12"/>
      <c r="L46" s="24"/>
      <c r="M46" s="24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ht="15.75" customHeight="1" x14ac:dyDescent="0.3">
      <c r="A47" s="12"/>
      <c r="B47" s="12"/>
      <c r="C47" s="12"/>
      <c r="D47" s="24"/>
      <c r="E47" s="24"/>
      <c r="F47" s="12"/>
      <c r="G47" s="12"/>
      <c r="H47" s="24"/>
      <c r="I47" s="17"/>
      <c r="J47" s="12"/>
      <c r="K47" s="12"/>
      <c r="L47" s="24"/>
      <c r="M47" s="24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ht="15.75" customHeight="1" x14ac:dyDescent="0.3">
      <c r="A48" s="12"/>
      <c r="B48" s="12"/>
      <c r="C48" s="12"/>
      <c r="D48" s="24"/>
      <c r="E48" s="24"/>
      <c r="F48" s="12"/>
      <c r="G48" s="12"/>
      <c r="H48" s="24"/>
      <c r="I48" s="17"/>
      <c r="J48" s="12"/>
      <c r="K48" s="12"/>
      <c r="L48" s="24"/>
      <c r="M48" s="24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ht="15.75" customHeight="1" x14ac:dyDescent="0.3">
      <c r="A49" s="12"/>
      <c r="B49" s="12"/>
      <c r="C49" s="12"/>
      <c r="D49" s="24"/>
      <c r="E49" s="24"/>
      <c r="F49" s="12"/>
      <c r="G49" s="12"/>
      <c r="H49" s="24"/>
      <c r="I49" s="17"/>
      <c r="J49" s="12"/>
      <c r="K49" s="12"/>
      <c r="L49" s="24"/>
      <c r="M49" s="24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ht="15.75" customHeight="1" x14ac:dyDescent="0.3">
      <c r="A50" s="12"/>
      <c r="B50" s="12"/>
      <c r="C50" s="12"/>
      <c r="D50" s="24"/>
      <c r="E50" s="24"/>
      <c r="F50" s="12"/>
      <c r="G50" s="12"/>
      <c r="H50" s="24"/>
      <c r="I50" s="17"/>
      <c r="J50" s="12"/>
      <c r="K50" s="12"/>
      <c r="L50" s="24"/>
      <c r="M50" s="24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ht="15.75" customHeight="1" x14ac:dyDescent="0.3">
      <c r="A51" s="12"/>
      <c r="B51" s="12"/>
      <c r="C51" s="12"/>
      <c r="D51" s="24"/>
      <c r="E51" s="24"/>
      <c r="F51" s="12"/>
      <c r="G51" s="12"/>
      <c r="H51" s="24"/>
      <c r="I51" s="17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ht="15.75" customHeight="1" x14ac:dyDescent="0.3">
      <c r="A52" s="12"/>
      <c r="B52" s="12"/>
      <c r="C52" s="12"/>
      <c r="D52" s="24"/>
      <c r="E52" s="24"/>
      <c r="F52" s="12"/>
      <c r="G52" s="12"/>
      <c r="H52" s="24"/>
      <c r="I52" s="1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ht="15.75" customHeight="1" x14ac:dyDescent="0.3">
      <c r="A53" s="12"/>
      <c r="B53" s="12"/>
      <c r="C53" s="12"/>
      <c r="D53" s="24"/>
      <c r="E53" s="24"/>
      <c r="F53" s="12"/>
      <c r="G53" s="12"/>
      <c r="H53" s="24"/>
      <c r="I53" s="17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ht="15.75" customHeight="1" x14ac:dyDescent="0.3">
      <c r="A54" s="12"/>
      <c r="B54" s="12"/>
      <c r="C54" s="12"/>
      <c r="D54" s="24"/>
      <c r="E54" s="24"/>
      <c r="F54" s="12"/>
      <c r="G54" s="12"/>
      <c r="H54" s="24"/>
      <c r="I54" s="17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ht="15.75" customHeight="1" x14ac:dyDescent="0.3">
      <c r="A55" s="12"/>
      <c r="B55" s="12"/>
      <c r="C55" s="12"/>
      <c r="D55" s="24"/>
      <c r="E55" s="24"/>
      <c r="F55" s="12"/>
      <c r="G55" s="12"/>
      <c r="H55" s="24"/>
      <c r="I55" s="17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ht="15.75" customHeight="1" x14ac:dyDescent="0.3">
      <c r="A56" s="12"/>
      <c r="B56" s="12"/>
      <c r="C56" s="12"/>
      <c r="D56" s="24"/>
      <c r="E56" s="24"/>
      <c r="F56" s="12"/>
      <c r="G56" s="12"/>
      <c r="H56" s="12"/>
      <c r="I56" s="17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1:41" ht="15.75" customHeight="1" x14ac:dyDescent="0.3">
      <c r="A57" s="12"/>
      <c r="B57" s="12"/>
      <c r="C57" s="12"/>
      <c r="D57" s="24"/>
      <c r="E57" s="24"/>
      <c r="F57" s="12"/>
      <c r="G57" s="12"/>
      <c r="H57" s="12"/>
      <c r="I57" s="17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1:41" ht="15.75" customHeight="1" x14ac:dyDescent="0.3">
      <c r="A58" s="12"/>
      <c r="B58" s="12"/>
      <c r="C58" s="12"/>
      <c r="D58" s="24"/>
      <c r="E58" s="24"/>
      <c r="F58" s="12"/>
      <c r="G58" s="12"/>
      <c r="H58" s="12"/>
      <c r="I58" s="17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ht="15.75" customHeight="1" x14ac:dyDescent="0.3">
      <c r="A59" s="12"/>
      <c r="B59" s="12"/>
      <c r="C59" s="12"/>
      <c r="D59" s="24"/>
      <c r="E59" s="24"/>
      <c r="F59" s="12"/>
      <c r="G59" s="12"/>
      <c r="H59" s="12"/>
      <c r="I59" s="17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ht="15.75" customHeight="1" x14ac:dyDescent="0.3">
      <c r="A60" s="12"/>
      <c r="B60" s="12"/>
      <c r="C60" s="12"/>
      <c r="D60" s="24"/>
      <c r="E60" s="24"/>
      <c r="F60" s="12"/>
      <c r="G60" s="12"/>
      <c r="H60" s="12"/>
      <c r="I60" s="17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ht="15.75" customHeight="1" x14ac:dyDescent="0.3">
      <c r="A61" s="12"/>
      <c r="B61" s="12"/>
      <c r="C61" s="12"/>
      <c r="D61" s="24"/>
      <c r="E61" s="24"/>
      <c r="F61" s="12"/>
      <c r="G61" s="12"/>
      <c r="H61" s="12"/>
      <c r="I61" s="17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ht="15.75" customHeight="1" x14ac:dyDescent="0.3">
      <c r="A62" s="12"/>
      <c r="B62" s="12"/>
      <c r="C62" s="12"/>
      <c r="D62" s="24"/>
      <c r="E62" s="24"/>
      <c r="F62" s="12"/>
      <c r="G62" s="12"/>
      <c r="H62" s="12"/>
      <c r="I62" s="17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1:41" ht="15.75" customHeight="1" x14ac:dyDescent="0.3">
      <c r="A63" s="12"/>
      <c r="B63" s="12"/>
      <c r="C63" s="12"/>
      <c r="D63" s="24"/>
      <c r="E63" s="24"/>
      <c r="F63" s="12"/>
      <c r="G63" s="12"/>
      <c r="H63" s="12"/>
      <c r="I63" s="17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ht="15.75" customHeight="1" x14ac:dyDescent="0.3">
      <c r="A64" s="12"/>
      <c r="B64" s="12"/>
      <c r="C64" s="12"/>
      <c r="D64" s="24"/>
      <c r="E64" s="24"/>
      <c r="F64" s="12"/>
      <c r="G64" s="12"/>
      <c r="H64" s="12"/>
      <c r="I64" s="17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1:41" ht="15.75" customHeight="1" x14ac:dyDescent="0.3">
      <c r="A65" s="12"/>
      <c r="B65" s="12"/>
      <c r="C65" s="12"/>
      <c r="D65" s="24"/>
      <c r="E65" s="24"/>
      <c r="F65" s="12"/>
      <c r="G65" s="12"/>
      <c r="H65" s="12"/>
      <c r="I65" s="17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ht="15.75" customHeight="1" x14ac:dyDescent="0.3">
      <c r="A66" s="12"/>
      <c r="B66" s="12"/>
      <c r="C66" s="12"/>
      <c r="D66" s="24"/>
      <c r="E66" s="24"/>
      <c r="F66" s="12"/>
      <c r="G66" s="12"/>
      <c r="H66" s="12"/>
      <c r="I66" s="17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ht="15.75" customHeight="1" x14ac:dyDescent="0.3">
      <c r="A67" s="12"/>
      <c r="B67" s="12"/>
      <c r="C67" s="12"/>
      <c r="D67" s="24"/>
      <c r="E67" s="24"/>
      <c r="F67" s="12"/>
      <c r="G67" s="12"/>
      <c r="H67" s="12"/>
      <c r="I67" s="17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ht="15.75" customHeight="1" x14ac:dyDescent="0.3">
      <c r="A68" s="12"/>
      <c r="B68" s="12"/>
      <c r="C68" s="12"/>
      <c r="D68" s="24"/>
      <c r="E68" s="24"/>
      <c r="F68" s="12"/>
      <c r="G68" s="12"/>
      <c r="H68" s="12"/>
      <c r="I68" s="17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ht="15.75" customHeight="1" x14ac:dyDescent="0.3">
      <c r="A69" s="12"/>
      <c r="B69" s="12"/>
      <c r="C69" s="12"/>
      <c r="D69" s="24"/>
      <c r="E69" s="24"/>
      <c r="F69" s="12"/>
      <c r="G69" s="12"/>
      <c r="H69" s="12"/>
      <c r="I69" s="17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7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1:41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7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1:41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7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1:41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7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1:41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7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1:41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7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1:41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7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spans="1:41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7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spans="1:41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7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 spans="1:41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7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1:41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7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1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7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1:41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7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 spans="1:41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7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 spans="1:41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7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 spans="1:41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7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  <row r="86" spans="1:41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7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</row>
    <row r="87" spans="1:41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7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 spans="1:41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7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</row>
    <row r="89" spans="1:41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7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spans="1:41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7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1:41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7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1:41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7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 spans="1:41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7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 spans="1:41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7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spans="1:41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7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spans="1:41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7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41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7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spans="1:41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7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</row>
    <row r="99" spans="1:41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7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1:41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7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 spans="1:41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7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</row>
    <row r="102" spans="1:41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7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</row>
    <row r="103" spans="1:41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7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</row>
    <row r="104" spans="1:41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7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</row>
    <row r="105" spans="1:41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7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</row>
    <row r="106" spans="1:41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7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spans="1:41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7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</row>
    <row r="108" spans="1:41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7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</row>
    <row r="109" spans="1:41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7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</row>
    <row r="110" spans="1:41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7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</row>
    <row r="111" spans="1:41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7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 spans="1:41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7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</row>
    <row r="113" spans="1:41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7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</row>
    <row r="114" spans="1:41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7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 spans="1:41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7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</row>
    <row r="116" spans="1:41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7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 spans="1:41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7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 spans="1:41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7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</row>
    <row r="119" spans="1:41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7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 spans="1:41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7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</row>
    <row r="121" spans="1:41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7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 spans="1:41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7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</row>
    <row r="123" spans="1:41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7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</row>
    <row r="124" spans="1:41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7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</row>
    <row r="125" spans="1:41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7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</row>
    <row r="126" spans="1:41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7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</row>
    <row r="127" spans="1:41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7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spans="1:41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7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 spans="1:41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7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 spans="1:41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7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spans="1:41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7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spans="1:41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7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spans="1:41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7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spans="1:41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spans="1:41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spans="1:41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spans="1:41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7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spans="1:41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7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spans="1:41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7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spans="1:41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7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spans="1:41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7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spans="1:41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7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spans="1:41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7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spans="1:41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7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spans="1:41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7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spans="1:41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7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spans="1:41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spans="1:41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spans="1:41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spans="1:41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7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spans="1:41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7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spans="1:41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7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spans="1:41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7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spans="1:41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7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spans="1:41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7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spans="1:41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7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spans="1:41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7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spans="1:41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7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1:41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7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spans="1:41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7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spans="1:41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7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spans="1:41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spans="1:41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spans="1:41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7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spans="1:41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7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spans="1:41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7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spans="1:41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spans="1:41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spans="1:41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spans="1:41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7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spans="1:41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7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spans="1:41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7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spans="1:41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7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1:41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7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1:41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7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spans="1:41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spans="1:41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spans="1:41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7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spans="1:41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7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spans="1:41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7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spans="1:41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7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spans="1:41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7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spans="1:41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spans="1:41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spans="1:41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1:41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7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1:41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7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spans="1:41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7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spans="1:41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spans="1:41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7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spans="1:41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7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spans="1:41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7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spans="1:41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spans="1:41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spans="1:41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spans="1:41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spans="1:41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7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spans="1:41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7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spans="1:41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7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spans="1:41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7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spans="1:41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7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spans="1:41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7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spans="1:41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7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spans="1:41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7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spans="1:41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7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spans="1:41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7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spans="1:41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7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spans="1:41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spans="1:41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7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spans="1:41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7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spans="1:41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7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spans="1:41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7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spans="1:41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7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spans="1:41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7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spans="1:41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7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spans="1:41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7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spans="1:41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7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spans="1:41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spans="1:41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spans="1:41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spans="1:41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spans="1:41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spans="1:41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7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spans="1:41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7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spans="1:41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7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spans="1:41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spans="1:41" ht="15.75" customHeight="1" x14ac:dyDescent="0.25"/>
    <row r="228" spans="1:41" ht="15.75" customHeight="1" x14ac:dyDescent="0.25"/>
    <row r="229" spans="1:41" ht="15.75" customHeight="1" x14ac:dyDescent="0.25"/>
    <row r="230" spans="1:41" ht="15.75" customHeight="1" x14ac:dyDescent="0.25"/>
    <row r="231" spans="1:41" ht="15.75" customHeight="1" x14ac:dyDescent="0.25"/>
    <row r="232" spans="1:41" ht="15.75" customHeight="1" x14ac:dyDescent="0.25"/>
    <row r="233" spans="1:41" ht="15.75" customHeight="1" x14ac:dyDescent="0.25"/>
    <row r="234" spans="1:41" ht="15.75" customHeight="1" x14ac:dyDescent="0.25"/>
    <row r="235" spans="1:41" ht="15.75" customHeight="1" x14ac:dyDescent="0.25"/>
    <row r="236" spans="1:41" ht="15.75" customHeight="1" x14ac:dyDescent="0.25"/>
    <row r="237" spans="1:41" ht="15.75" customHeight="1" x14ac:dyDescent="0.25"/>
    <row r="238" spans="1:41" ht="15.75" customHeight="1" x14ac:dyDescent="0.25"/>
    <row r="239" spans="1:41" ht="15.75" customHeight="1" x14ac:dyDescent="0.25"/>
    <row r="240" spans="1:4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2:W5"/>
    <mergeCell ref="C7:AA8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O220"/>
  <sheetViews>
    <sheetView showGridLines="0" tabSelected="1" topLeftCell="C1" workbookViewId="0">
      <selection activeCell="M6" sqref="M6"/>
    </sheetView>
  </sheetViews>
  <sheetFormatPr baseColWidth="10" defaultColWidth="12.6328125" defaultRowHeight="15" customHeight="1" x14ac:dyDescent="0.25"/>
  <cols>
    <col min="1" max="2" width="17.90625" customWidth="1"/>
    <col min="3" max="3" width="10.90625" customWidth="1"/>
    <col min="4" max="5" width="8.08984375" customWidth="1"/>
    <col min="6" max="6" width="8.26953125" customWidth="1"/>
    <col min="7" max="7" width="8.08984375" customWidth="1"/>
    <col min="8" max="8" width="8.26953125" customWidth="1"/>
    <col min="9" max="9" width="8.08984375" customWidth="1"/>
    <col min="10" max="10" width="8.26953125" customWidth="1"/>
    <col min="11" max="11" width="8.08984375" style="117" customWidth="1"/>
    <col min="12" max="12" width="8.26953125" style="117" customWidth="1"/>
    <col min="13" max="13" width="8.08984375" style="117" customWidth="1"/>
    <col min="14" max="14" width="8.26953125" style="117" customWidth="1"/>
    <col min="15" max="32" width="10.7265625" style="117" customWidth="1"/>
    <col min="33" max="33" width="10.90625" style="117" customWidth="1"/>
    <col min="34" max="36" width="10.7265625" style="117" customWidth="1"/>
    <col min="37" max="37" width="11.08984375" style="117" customWidth="1"/>
    <col min="38" max="45" width="10.7265625" style="117" customWidth="1"/>
    <col min="46" max="46" width="10.90625" style="117" customWidth="1"/>
    <col min="47" max="49" width="10.7265625" style="117" customWidth="1"/>
    <col min="50" max="50" width="11.08984375" style="117" customWidth="1"/>
    <col min="51" max="62" width="10.7265625" style="117" customWidth="1"/>
    <col min="63" max="63" width="10.90625" style="117" customWidth="1"/>
    <col min="64" max="66" width="10.7265625" style="117" customWidth="1"/>
    <col min="67" max="68" width="10.90625" style="117" customWidth="1"/>
    <col min="69" max="70" width="10.7265625" style="117" customWidth="1"/>
    <col min="71" max="71" width="11" style="117" customWidth="1"/>
    <col min="72" max="72" width="11.08984375" style="117" customWidth="1"/>
    <col min="73" max="73" width="10.90625" style="117" customWidth="1"/>
    <col min="74" max="74" width="10.7265625" style="117" customWidth="1"/>
    <col min="75" max="75" width="10.90625" style="117" customWidth="1"/>
    <col min="76" max="76" width="11.453125" style="117" customWidth="1"/>
    <col min="77" max="88" width="10.7265625" style="117" customWidth="1"/>
    <col min="89" max="89" width="10.90625" style="117" customWidth="1"/>
    <col min="90" max="101" width="10.7265625" style="117" customWidth="1"/>
    <col min="102" max="102" width="10.90625" style="117" customWidth="1"/>
    <col min="103" max="105" width="10.7265625" style="117" customWidth="1"/>
    <col min="106" max="107" width="10.90625" style="117" customWidth="1"/>
    <col min="108" max="109" width="10.7265625" style="117" customWidth="1"/>
    <col min="110" max="110" width="11" style="117" customWidth="1"/>
    <col min="111" max="111" width="11.08984375" style="117" customWidth="1"/>
    <col min="112" max="112" width="10.90625" style="117" customWidth="1"/>
    <col min="113" max="113" width="10.7265625" style="117" customWidth="1"/>
    <col min="114" max="114" width="10.90625" style="117" customWidth="1"/>
    <col min="115" max="115" width="11.453125" style="117" customWidth="1"/>
    <col min="116" max="118" width="10.7265625" style="117" customWidth="1"/>
    <col min="119" max="120" width="10.90625" style="117" customWidth="1"/>
    <col min="121" max="122" width="10.7265625" style="117" customWidth="1"/>
    <col min="123" max="123" width="11" style="117" customWidth="1"/>
    <col min="124" max="124" width="11.08984375" style="117" customWidth="1"/>
    <col min="125" max="125" width="10.90625" style="117" customWidth="1"/>
    <col min="126" max="126" width="10.7265625" style="117" customWidth="1"/>
    <col min="127" max="127" width="10.90625" style="117" customWidth="1"/>
    <col min="128" max="128" width="11.453125" style="117" customWidth="1"/>
    <col min="129" max="166" width="10.7265625" style="117" customWidth="1"/>
    <col min="167" max="167" width="10.90625" style="117" customWidth="1"/>
    <col min="168" max="182" width="10.7265625" style="117" customWidth="1"/>
    <col min="183" max="185" width="11.453125" style="117" customWidth="1"/>
    <col min="186" max="186" width="11.08984375" style="117" customWidth="1"/>
    <col min="187" max="187" width="10.90625" style="117" customWidth="1"/>
    <col min="188" max="188" width="11.7265625" style="117" customWidth="1"/>
    <col min="189" max="189" width="11.90625" style="117" customWidth="1"/>
    <col min="190" max="192" width="11.453125" style="117" customWidth="1"/>
    <col min="193" max="193" width="12.26953125" style="117" customWidth="1"/>
    <col min="194" max="194" width="11.08984375" style="117" customWidth="1"/>
    <col min="195" max="195" width="11" style="117" customWidth="1"/>
    <col min="196" max="196" width="10.7265625" style="117" customWidth="1"/>
    <col min="197" max="198" width="10.90625" style="117" customWidth="1"/>
    <col min="199" max="200" width="10.7265625" style="117" customWidth="1"/>
    <col min="201" max="201" width="11" style="117" customWidth="1"/>
    <col min="202" max="202" width="11.08984375" style="117" customWidth="1"/>
    <col min="203" max="203" width="10.90625" style="117" customWidth="1"/>
    <col min="204" max="204" width="10.7265625" style="117" customWidth="1"/>
    <col min="205" max="205" width="10.90625" style="117" customWidth="1"/>
    <col min="206" max="206" width="11.453125" style="117" customWidth="1"/>
    <col min="207" max="209" width="10.7265625" style="117" customWidth="1"/>
    <col min="210" max="211" width="10.90625" style="117" customWidth="1"/>
    <col min="212" max="213" width="10.7265625" style="117" customWidth="1"/>
    <col min="214" max="214" width="11" style="117" customWidth="1"/>
    <col min="215" max="215" width="11.08984375" style="117" customWidth="1"/>
    <col min="216" max="216" width="10.90625" style="117" customWidth="1"/>
    <col min="217" max="217" width="10.7265625" style="117" customWidth="1"/>
    <col min="218" max="218" width="10.90625" style="117" customWidth="1"/>
    <col min="219" max="219" width="11.453125" style="117" customWidth="1"/>
    <col min="220" max="231" width="10.7265625" style="117" customWidth="1"/>
    <col min="232" max="232" width="10.90625" style="117" customWidth="1"/>
    <col min="233" max="235" width="10.7265625" style="117" customWidth="1"/>
    <col min="236" max="237" width="10.90625" style="117" customWidth="1"/>
    <col min="238" max="239" width="10.7265625" style="117" customWidth="1"/>
    <col min="240" max="240" width="11" style="117" customWidth="1"/>
    <col min="241" max="241" width="11.08984375" style="117" customWidth="1"/>
    <col min="242" max="242" width="10.90625" style="117" customWidth="1"/>
    <col min="243" max="243" width="10.7265625" style="117" customWidth="1"/>
    <col min="244" max="244" width="10.90625" style="117" customWidth="1"/>
    <col min="245" max="245" width="11.453125" style="117" customWidth="1"/>
    <col min="246" max="253" width="10.7265625" style="117" customWidth="1"/>
    <col min="254" max="254" width="10.90625" style="117" customWidth="1"/>
    <col min="255" max="257" width="10.7265625" style="117" customWidth="1"/>
    <col min="258" max="258" width="11.08984375" style="117" customWidth="1"/>
    <col min="259" max="270" width="10.7265625" style="117" customWidth="1"/>
    <col min="271" max="271" width="10.90625" style="117" customWidth="1"/>
    <col min="272" max="283" width="10.7265625" style="117" customWidth="1"/>
    <col min="284" max="284" width="10.90625" style="117" customWidth="1"/>
    <col min="285" max="287" width="10.7265625" style="117" customWidth="1"/>
    <col min="288" max="289" width="10.90625" style="117" customWidth="1"/>
    <col min="290" max="291" width="10.7265625" style="117" customWidth="1"/>
    <col min="292" max="292" width="11" style="117" customWidth="1"/>
    <col min="293" max="293" width="11.08984375" style="117" customWidth="1"/>
    <col min="294" max="294" width="10.90625" style="117" customWidth="1"/>
    <col min="295" max="295" width="10.7265625" style="117" customWidth="1"/>
    <col min="296" max="296" width="10.90625" style="117" customWidth="1"/>
    <col min="297" max="297" width="11.453125" style="117" customWidth="1"/>
    <col min="298" max="305" width="10.7265625" style="117" customWidth="1"/>
    <col min="306" max="306" width="10.90625" style="117" customWidth="1"/>
    <col min="307" max="309" width="10.7265625" style="117" customWidth="1"/>
    <col min="310" max="310" width="11.08984375" style="117" customWidth="1"/>
    <col min="311" max="311" width="10.7265625" style="117" customWidth="1"/>
    <col min="312" max="312" width="11" style="117" customWidth="1"/>
    <col min="313" max="313" width="11.7265625" style="117" customWidth="1"/>
    <col min="314" max="315" width="11.90625" style="117" customWidth="1"/>
    <col min="316" max="316" width="11.453125" style="117" customWidth="1"/>
    <col min="317" max="317" width="11.08984375" style="117" customWidth="1"/>
    <col min="318" max="318" width="12.08984375" style="117" customWidth="1"/>
    <col min="319" max="319" width="12.26953125" style="117" customWidth="1"/>
    <col min="320" max="320" width="11.90625" style="117" customWidth="1"/>
    <col min="321" max="321" width="11.7265625" style="117" customWidth="1"/>
    <col min="322" max="322" width="11.90625" style="117" customWidth="1"/>
    <col min="323" max="323" width="12.453125" style="117" customWidth="1"/>
    <col min="324" max="324" width="11.453125" style="117" customWidth="1"/>
    <col min="325" max="325" width="10.90625" style="117" customWidth="1"/>
    <col min="326" max="330" width="10.7265625" style="117" customWidth="1"/>
    <col min="331" max="535" width="17.453125" style="117" customWidth="1"/>
    <col min="536" max="16384" width="12.6328125" style="117"/>
  </cols>
  <sheetData>
    <row r="1" spans="1:535" ht="15.75" customHeight="1" x14ac:dyDescent="0.35">
      <c r="A1" s="1"/>
      <c r="B1" s="1"/>
      <c r="C1" s="1"/>
      <c r="D1" s="1"/>
      <c r="F1" s="1"/>
      <c r="G1" s="1"/>
      <c r="H1" s="1"/>
      <c r="I1" s="1"/>
      <c r="J1" s="1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</row>
    <row r="2" spans="1:535" ht="14.5" x14ac:dyDescent="0.35">
      <c r="A2" s="1"/>
      <c r="B2" s="1"/>
      <c r="C2" s="5" t="s">
        <v>10</v>
      </c>
      <c r="D2" s="6" t="s">
        <v>11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118"/>
      <c r="L2" s="118"/>
      <c r="M2" s="118"/>
      <c r="N2" s="118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19"/>
      <c r="JM2" s="119"/>
      <c r="JN2" s="119"/>
      <c r="JO2" s="119"/>
      <c r="JP2" s="119"/>
      <c r="JQ2" s="119"/>
      <c r="JR2" s="119"/>
      <c r="JS2" s="119"/>
      <c r="JT2" s="119"/>
      <c r="JU2" s="119"/>
      <c r="JV2" s="119"/>
      <c r="JW2" s="119"/>
      <c r="JX2" s="119"/>
      <c r="JY2" s="119"/>
      <c r="JZ2" s="119"/>
      <c r="KA2" s="119"/>
      <c r="KB2" s="119"/>
      <c r="KC2" s="119"/>
      <c r="KD2" s="119"/>
      <c r="KE2" s="119"/>
      <c r="KF2" s="119"/>
      <c r="KG2" s="119"/>
      <c r="KH2" s="119"/>
      <c r="KI2" s="119"/>
      <c r="KJ2" s="119"/>
      <c r="KK2" s="119"/>
      <c r="KL2" s="119"/>
      <c r="KM2" s="119"/>
      <c r="KN2" s="119"/>
      <c r="KO2" s="119"/>
      <c r="KP2" s="119"/>
      <c r="KQ2" s="119"/>
      <c r="KR2" s="119"/>
      <c r="KS2" s="119"/>
      <c r="KT2" s="119"/>
      <c r="KU2" s="119"/>
      <c r="KV2" s="119"/>
      <c r="KW2" s="119"/>
      <c r="KX2" s="119"/>
      <c r="KY2" s="119"/>
      <c r="KZ2" s="119"/>
      <c r="LA2" s="119"/>
      <c r="LB2" s="119"/>
      <c r="LC2" s="119"/>
      <c r="LD2" s="119"/>
      <c r="LE2" s="119"/>
      <c r="LF2" s="119"/>
      <c r="LG2" s="119"/>
      <c r="LH2" s="119"/>
      <c r="LI2" s="119"/>
      <c r="LJ2" s="119"/>
      <c r="LK2" s="119"/>
      <c r="LL2" s="119"/>
      <c r="LM2" s="119"/>
      <c r="LN2" s="119"/>
      <c r="LO2" s="119"/>
      <c r="LP2" s="119"/>
      <c r="LQ2" s="119"/>
      <c r="LR2" s="119"/>
      <c r="LS2" s="119"/>
      <c r="LT2" s="119"/>
      <c r="LU2" s="119"/>
      <c r="LV2" s="119"/>
      <c r="LW2" s="119"/>
      <c r="LX2" s="119"/>
      <c r="LY2" s="119"/>
      <c r="LZ2" s="119"/>
      <c r="MA2" s="119"/>
      <c r="MB2" s="119"/>
      <c r="MC2" s="119"/>
      <c r="MD2" s="119"/>
      <c r="ME2" s="119"/>
      <c r="MF2" s="119"/>
      <c r="MG2" s="119"/>
      <c r="MH2" s="119"/>
      <c r="MI2" s="119"/>
      <c r="MJ2" s="119"/>
      <c r="MK2" s="119"/>
      <c r="ML2" s="119"/>
      <c r="MM2" s="119"/>
      <c r="MN2" s="119"/>
      <c r="MO2" s="119"/>
      <c r="MP2" s="119"/>
      <c r="MQ2" s="119"/>
      <c r="MR2" s="119"/>
      <c r="MS2" s="119"/>
      <c r="MT2" s="119"/>
      <c r="MU2" s="119"/>
      <c r="MV2" s="119"/>
      <c r="MW2" s="119"/>
      <c r="MX2" s="119"/>
      <c r="MY2" s="119"/>
      <c r="MZ2" s="119"/>
      <c r="NA2" s="119"/>
      <c r="NB2" s="119"/>
      <c r="NC2" s="119"/>
      <c r="ND2" s="119"/>
      <c r="NE2" s="119"/>
      <c r="NF2" s="119"/>
      <c r="NG2" s="119"/>
      <c r="NH2" s="119"/>
      <c r="NI2" s="119"/>
      <c r="NJ2" s="119"/>
      <c r="NK2" s="119"/>
      <c r="NL2" s="119"/>
      <c r="NM2" s="119"/>
      <c r="NN2" s="119"/>
      <c r="NO2" s="119"/>
      <c r="NP2" s="119"/>
      <c r="NQ2" s="119"/>
      <c r="NR2" s="119"/>
      <c r="NS2" s="119"/>
      <c r="NT2" s="119"/>
      <c r="NU2" s="119"/>
      <c r="NV2" s="119"/>
      <c r="NW2" s="119"/>
      <c r="NX2" s="119"/>
      <c r="NY2" s="119"/>
      <c r="NZ2" s="119"/>
      <c r="OA2" s="119"/>
      <c r="OB2" s="119"/>
      <c r="OC2" s="119"/>
      <c r="OD2" s="119"/>
      <c r="OE2" s="119"/>
      <c r="OF2" s="119"/>
      <c r="OG2" s="119"/>
      <c r="OH2" s="119"/>
      <c r="OI2" s="119"/>
      <c r="OJ2" s="119"/>
      <c r="OK2" s="119"/>
      <c r="OL2" s="119"/>
      <c r="OM2" s="119"/>
      <c r="ON2" s="119"/>
      <c r="OO2" s="119"/>
      <c r="OP2" s="119"/>
      <c r="OQ2" s="119"/>
      <c r="OR2" s="119"/>
      <c r="OS2" s="119"/>
      <c r="OT2" s="119"/>
      <c r="OU2" s="119"/>
      <c r="OV2" s="119"/>
      <c r="OW2" s="119"/>
      <c r="OX2" s="119"/>
      <c r="OY2" s="119"/>
      <c r="OZ2" s="119"/>
      <c r="PA2" s="119"/>
      <c r="PB2" s="119"/>
      <c r="PC2" s="119"/>
      <c r="PD2" s="119"/>
      <c r="PE2" s="119"/>
      <c r="PF2" s="119"/>
      <c r="PG2" s="119"/>
      <c r="PH2" s="119"/>
      <c r="PI2" s="119"/>
      <c r="PJ2" s="119"/>
      <c r="PK2" s="119"/>
      <c r="PL2" s="119"/>
      <c r="PM2" s="119"/>
      <c r="PN2" s="119"/>
      <c r="PO2" s="119"/>
      <c r="PP2" s="119"/>
      <c r="PQ2" s="119"/>
      <c r="PR2" s="119"/>
      <c r="PS2" s="119"/>
      <c r="PT2" s="119"/>
      <c r="PU2" s="119"/>
      <c r="PV2" s="119"/>
      <c r="PW2" s="119"/>
      <c r="PX2" s="119"/>
      <c r="PY2" s="119"/>
      <c r="PZ2" s="119"/>
      <c r="QA2" s="119"/>
      <c r="QB2" s="119"/>
      <c r="QC2" s="119"/>
      <c r="QD2" s="119"/>
      <c r="QE2" s="119"/>
      <c r="QF2" s="119"/>
      <c r="QG2" s="119"/>
      <c r="QH2" s="119"/>
      <c r="QI2" s="119"/>
      <c r="QJ2" s="119"/>
      <c r="QK2" s="119"/>
      <c r="QL2" s="119"/>
      <c r="QM2" s="119"/>
      <c r="QN2" s="119"/>
      <c r="QO2" s="119"/>
      <c r="QP2" s="119"/>
      <c r="QQ2" s="119"/>
      <c r="QR2" s="119"/>
      <c r="QS2" s="119"/>
      <c r="QT2" s="119"/>
      <c r="QU2" s="119"/>
      <c r="QV2" s="119"/>
      <c r="QW2" s="119"/>
      <c r="QX2" s="119"/>
      <c r="QY2" s="119"/>
      <c r="QZ2" s="119"/>
      <c r="RA2" s="119"/>
      <c r="RB2" s="119"/>
      <c r="RC2" s="119"/>
      <c r="RD2" s="119"/>
      <c r="RE2" s="119"/>
      <c r="RF2" s="119"/>
      <c r="RG2" s="119"/>
      <c r="RH2" s="119"/>
      <c r="RI2" s="119"/>
      <c r="RJ2" s="119"/>
      <c r="RK2" s="119"/>
      <c r="RL2" s="119"/>
      <c r="RM2" s="119"/>
      <c r="RN2" s="119"/>
      <c r="RO2" s="119"/>
      <c r="RP2" s="119"/>
      <c r="RQ2" s="119"/>
      <c r="RR2" s="119"/>
      <c r="RS2" s="119"/>
      <c r="RT2" s="119"/>
      <c r="RU2" s="119"/>
      <c r="RV2" s="119"/>
      <c r="RW2" s="119"/>
      <c r="RX2" s="119"/>
      <c r="RY2" s="119"/>
      <c r="RZ2" s="119"/>
      <c r="SA2" s="119"/>
      <c r="SB2" s="119"/>
      <c r="SC2" s="119"/>
      <c r="SD2" s="119"/>
      <c r="SE2" s="119"/>
      <c r="SF2" s="119"/>
      <c r="SG2" s="119"/>
      <c r="SH2" s="119"/>
      <c r="SI2" s="119"/>
      <c r="SJ2" s="119"/>
      <c r="SK2" s="119"/>
      <c r="SL2" s="119"/>
      <c r="SM2" s="119"/>
      <c r="SN2" s="119"/>
      <c r="SO2" s="119"/>
      <c r="SP2" s="119"/>
      <c r="SQ2" s="119"/>
      <c r="SR2" s="119"/>
      <c r="SS2" s="119"/>
      <c r="ST2" s="119"/>
      <c r="SU2" s="119"/>
      <c r="SV2" s="119"/>
      <c r="SW2" s="119"/>
      <c r="SX2" s="119"/>
      <c r="SY2" s="119"/>
      <c r="SZ2" s="119"/>
      <c r="TA2" s="119"/>
      <c r="TB2" s="119"/>
      <c r="TC2" s="119"/>
      <c r="TD2" s="119"/>
      <c r="TE2" s="119"/>
      <c r="TF2" s="119"/>
      <c r="TG2" s="119"/>
      <c r="TH2" s="119"/>
      <c r="TI2" s="119"/>
      <c r="TJ2" s="119"/>
      <c r="TK2" s="119"/>
      <c r="TL2" s="119"/>
      <c r="TM2" s="119"/>
      <c r="TN2" s="119"/>
      <c r="TO2" s="119"/>
    </row>
    <row r="3" spans="1:535" ht="14.5" x14ac:dyDescent="0.35">
      <c r="B3" s="1"/>
      <c r="C3" s="7" t="s">
        <v>12</v>
      </c>
      <c r="D3" s="8" t="s">
        <v>11</v>
      </c>
      <c r="E3" s="8" t="str">
        <f t="shared" ref="E3:N3" si="0">E2</f>
        <v>Up100</v>
      </c>
      <c r="F3" s="8" t="str">
        <f t="shared" si="0"/>
        <v>Dwn100</v>
      </c>
      <c r="G3" s="8" t="str">
        <f t="shared" si="0"/>
        <v>Up200</v>
      </c>
      <c r="H3" s="8" t="str">
        <f t="shared" si="0"/>
        <v>Dwn200</v>
      </c>
      <c r="I3" s="8" t="str">
        <f t="shared" si="0"/>
        <v>Up400</v>
      </c>
      <c r="J3" s="8" t="str">
        <f t="shared" si="0"/>
        <v>Dwn400</v>
      </c>
      <c r="K3" s="120"/>
      <c r="L3" s="120"/>
      <c r="M3" s="120"/>
      <c r="N3" s="120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  <c r="CK3" s="121"/>
      <c r="CL3" s="121"/>
      <c r="CM3" s="121"/>
      <c r="CN3" s="121"/>
      <c r="CO3" s="121"/>
      <c r="CP3" s="121"/>
      <c r="CQ3" s="121"/>
      <c r="CR3" s="121"/>
      <c r="CS3" s="121"/>
      <c r="CT3" s="121"/>
      <c r="CU3" s="121"/>
      <c r="CV3" s="121"/>
      <c r="CW3" s="121"/>
      <c r="CX3" s="121"/>
      <c r="CY3" s="121"/>
      <c r="CZ3" s="121"/>
      <c r="DA3" s="121"/>
      <c r="DB3" s="121"/>
      <c r="DC3" s="121"/>
      <c r="DD3" s="121"/>
      <c r="DE3" s="121"/>
      <c r="DF3" s="121"/>
      <c r="DG3" s="121"/>
      <c r="DH3" s="121"/>
      <c r="DI3" s="121"/>
      <c r="DJ3" s="121"/>
      <c r="DK3" s="121"/>
      <c r="DL3" s="121"/>
      <c r="DM3" s="121"/>
      <c r="DN3" s="121"/>
      <c r="DO3" s="121"/>
      <c r="DP3" s="121"/>
      <c r="DQ3" s="121"/>
      <c r="DR3" s="121"/>
      <c r="DS3" s="121"/>
      <c r="DT3" s="121"/>
      <c r="DU3" s="121"/>
      <c r="DV3" s="121"/>
      <c r="DW3" s="121"/>
      <c r="DX3" s="121"/>
      <c r="DY3" s="121"/>
      <c r="DZ3" s="121"/>
      <c r="EA3" s="121"/>
      <c r="EB3" s="121"/>
      <c r="EC3" s="121"/>
      <c r="ED3" s="121"/>
      <c r="EE3" s="121"/>
      <c r="EF3" s="121"/>
      <c r="EG3" s="121"/>
      <c r="EH3" s="121"/>
      <c r="EI3" s="121"/>
      <c r="EJ3" s="121"/>
      <c r="EK3" s="121"/>
      <c r="EL3" s="121"/>
      <c r="EM3" s="121"/>
      <c r="EN3" s="121"/>
      <c r="EO3" s="121"/>
      <c r="EP3" s="121"/>
      <c r="EQ3" s="121"/>
      <c r="ER3" s="121"/>
      <c r="ES3" s="121"/>
      <c r="ET3" s="121"/>
      <c r="EU3" s="121"/>
      <c r="EV3" s="121"/>
      <c r="EW3" s="121"/>
      <c r="EX3" s="121"/>
      <c r="EY3" s="121"/>
      <c r="EZ3" s="121"/>
      <c r="FA3" s="121"/>
      <c r="FB3" s="121"/>
      <c r="FC3" s="121"/>
      <c r="FD3" s="121"/>
      <c r="FE3" s="121"/>
      <c r="FF3" s="121"/>
      <c r="FG3" s="121"/>
      <c r="FH3" s="121"/>
      <c r="FI3" s="121"/>
      <c r="FJ3" s="121"/>
      <c r="FK3" s="121"/>
      <c r="FL3" s="121"/>
      <c r="FM3" s="121"/>
      <c r="FN3" s="121"/>
      <c r="FO3" s="121"/>
      <c r="FP3" s="121"/>
      <c r="FQ3" s="121"/>
      <c r="FR3" s="121"/>
      <c r="FS3" s="121"/>
      <c r="FT3" s="121"/>
      <c r="FU3" s="121"/>
      <c r="FV3" s="121"/>
      <c r="FW3" s="121"/>
      <c r="FX3" s="121"/>
      <c r="FY3" s="121"/>
      <c r="FZ3" s="121"/>
      <c r="GA3" s="121"/>
      <c r="GB3" s="121"/>
      <c r="GC3" s="121"/>
      <c r="GD3" s="121"/>
      <c r="GE3" s="121"/>
      <c r="GF3" s="121"/>
      <c r="GG3" s="121"/>
      <c r="GH3" s="121"/>
      <c r="GI3" s="121"/>
      <c r="GJ3" s="121"/>
      <c r="GK3" s="121"/>
      <c r="GL3" s="121"/>
      <c r="GM3" s="121"/>
      <c r="GN3" s="121"/>
      <c r="GO3" s="121"/>
      <c r="GP3" s="121"/>
      <c r="GQ3" s="121"/>
      <c r="GR3" s="121"/>
      <c r="GS3" s="121"/>
      <c r="GT3" s="121"/>
      <c r="GU3" s="121"/>
      <c r="GV3" s="121"/>
      <c r="GW3" s="121"/>
      <c r="GX3" s="121"/>
      <c r="GY3" s="121"/>
      <c r="GZ3" s="121"/>
      <c r="HA3" s="121"/>
      <c r="HB3" s="121"/>
      <c r="HC3" s="121"/>
      <c r="HD3" s="121"/>
      <c r="HE3" s="121"/>
      <c r="HF3" s="121"/>
      <c r="HG3" s="121"/>
      <c r="HH3" s="121"/>
      <c r="HI3" s="121"/>
      <c r="HJ3" s="121"/>
      <c r="HK3" s="121"/>
      <c r="HL3" s="121"/>
      <c r="HM3" s="121"/>
      <c r="HN3" s="121"/>
      <c r="HO3" s="121"/>
      <c r="HP3" s="121"/>
      <c r="HQ3" s="121"/>
      <c r="HR3" s="121"/>
      <c r="HS3" s="121"/>
      <c r="HT3" s="121"/>
      <c r="HU3" s="121"/>
      <c r="HV3" s="121"/>
      <c r="HW3" s="121"/>
      <c r="HX3" s="121"/>
      <c r="HY3" s="121"/>
      <c r="HZ3" s="121"/>
      <c r="IA3" s="121"/>
      <c r="IB3" s="121"/>
      <c r="IC3" s="121"/>
      <c r="ID3" s="121"/>
      <c r="IE3" s="121"/>
      <c r="IF3" s="121"/>
      <c r="IG3" s="121"/>
      <c r="IH3" s="121"/>
      <c r="II3" s="121"/>
      <c r="IJ3" s="121"/>
      <c r="IK3" s="121"/>
      <c r="IL3" s="121"/>
      <c r="IM3" s="121"/>
      <c r="IN3" s="121"/>
      <c r="IO3" s="121"/>
      <c r="IP3" s="121"/>
      <c r="IQ3" s="121"/>
      <c r="IR3" s="121"/>
      <c r="IS3" s="121"/>
      <c r="IT3" s="121"/>
      <c r="IU3" s="121"/>
      <c r="IV3" s="121"/>
      <c r="IW3" s="121"/>
      <c r="IX3" s="121"/>
      <c r="IY3" s="121"/>
      <c r="IZ3" s="121"/>
      <c r="JA3" s="121"/>
      <c r="JB3" s="121"/>
      <c r="JC3" s="121"/>
      <c r="JD3" s="121"/>
      <c r="JE3" s="121"/>
      <c r="JF3" s="121"/>
      <c r="JG3" s="121"/>
      <c r="JH3" s="121"/>
      <c r="JI3" s="121"/>
      <c r="JJ3" s="121"/>
      <c r="JK3" s="121"/>
      <c r="JL3" s="121"/>
      <c r="JM3" s="121"/>
      <c r="JN3" s="121"/>
      <c r="JO3" s="121"/>
      <c r="JP3" s="121"/>
      <c r="JQ3" s="121"/>
      <c r="JR3" s="121"/>
      <c r="JS3" s="121"/>
      <c r="JT3" s="121"/>
      <c r="JU3" s="121"/>
      <c r="JV3" s="121"/>
      <c r="JW3" s="121"/>
      <c r="JX3" s="121"/>
      <c r="JY3" s="121"/>
      <c r="JZ3" s="121"/>
      <c r="KA3" s="121"/>
      <c r="KB3" s="121"/>
      <c r="KC3" s="121"/>
      <c r="KD3" s="121"/>
      <c r="KE3" s="121"/>
      <c r="KF3" s="121"/>
      <c r="KG3" s="121"/>
      <c r="KH3" s="121"/>
      <c r="KI3" s="121"/>
      <c r="KJ3" s="121"/>
      <c r="KK3" s="121"/>
      <c r="KL3" s="121"/>
      <c r="KM3" s="121"/>
      <c r="KN3" s="121"/>
      <c r="KO3" s="121"/>
      <c r="KP3" s="121"/>
      <c r="KQ3" s="121"/>
      <c r="KR3" s="121"/>
      <c r="KS3" s="121"/>
      <c r="KT3" s="121"/>
      <c r="KU3" s="121"/>
      <c r="KV3" s="121"/>
      <c r="KW3" s="121"/>
      <c r="KX3" s="121"/>
      <c r="KY3" s="121"/>
      <c r="KZ3" s="121"/>
      <c r="LA3" s="121"/>
      <c r="LB3" s="121"/>
      <c r="LC3" s="121"/>
      <c r="LD3" s="121"/>
      <c r="LE3" s="121"/>
      <c r="LF3" s="121"/>
      <c r="LG3" s="121"/>
      <c r="LH3" s="121"/>
      <c r="LI3" s="121"/>
      <c r="LJ3" s="121"/>
      <c r="LK3" s="121"/>
      <c r="LL3" s="121"/>
      <c r="LM3" s="121"/>
      <c r="LN3" s="121"/>
      <c r="LO3" s="121"/>
      <c r="LP3" s="121"/>
      <c r="LQ3" s="121"/>
      <c r="LR3" s="121"/>
      <c r="LS3" s="121"/>
      <c r="LT3" s="121"/>
      <c r="LU3" s="121"/>
      <c r="LV3" s="121"/>
      <c r="LW3" s="121"/>
      <c r="LX3" s="121"/>
      <c r="LY3" s="121"/>
      <c r="LZ3" s="121"/>
      <c r="MA3" s="121"/>
      <c r="MB3" s="121"/>
      <c r="MC3" s="121"/>
      <c r="MD3" s="121"/>
      <c r="ME3" s="121"/>
      <c r="MF3" s="121"/>
      <c r="MG3" s="121"/>
      <c r="MH3" s="121"/>
      <c r="MI3" s="121"/>
      <c r="MJ3" s="121"/>
      <c r="MK3" s="121"/>
      <c r="ML3" s="121"/>
      <c r="MM3" s="121"/>
      <c r="MN3" s="121"/>
      <c r="MO3" s="121"/>
      <c r="MP3" s="121"/>
      <c r="MQ3" s="121"/>
      <c r="MR3" s="121"/>
      <c r="MS3" s="121"/>
      <c r="MT3" s="121"/>
      <c r="MU3" s="121"/>
      <c r="MV3" s="121"/>
      <c r="MW3" s="121"/>
      <c r="MX3" s="121"/>
      <c r="MY3" s="121"/>
      <c r="MZ3" s="121"/>
      <c r="NA3" s="121"/>
      <c r="NB3" s="121"/>
      <c r="NC3" s="121"/>
      <c r="ND3" s="121"/>
      <c r="NE3" s="121"/>
      <c r="NF3" s="121"/>
      <c r="NG3" s="121"/>
      <c r="NH3" s="121"/>
      <c r="NI3" s="121"/>
      <c r="NJ3" s="121"/>
      <c r="NK3" s="121"/>
      <c r="NL3" s="121"/>
      <c r="NM3" s="121"/>
      <c r="NN3" s="121"/>
      <c r="NO3" s="121"/>
      <c r="NP3" s="121"/>
      <c r="NQ3" s="121"/>
      <c r="NR3" s="121"/>
      <c r="NS3" s="121"/>
      <c r="NT3" s="121"/>
      <c r="NU3" s="121"/>
      <c r="NV3" s="121"/>
      <c r="NW3" s="121"/>
      <c r="NX3" s="121"/>
      <c r="NY3" s="121"/>
      <c r="NZ3" s="121"/>
      <c r="OA3" s="121"/>
      <c r="OB3" s="121"/>
      <c r="OC3" s="121"/>
      <c r="OD3" s="121"/>
      <c r="OE3" s="121"/>
      <c r="OF3" s="121"/>
      <c r="OG3" s="121"/>
      <c r="OH3" s="121"/>
      <c r="OI3" s="121"/>
      <c r="OJ3" s="121"/>
      <c r="OK3" s="121"/>
      <c r="OL3" s="121"/>
      <c r="OM3" s="121"/>
      <c r="ON3" s="121"/>
      <c r="OO3" s="121"/>
      <c r="OP3" s="121"/>
      <c r="OQ3" s="121"/>
      <c r="OR3" s="121"/>
      <c r="OS3" s="121"/>
      <c r="OT3" s="121"/>
      <c r="OU3" s="121"/>
      <c r="OV3" s="121"/>
      <c r="OW3" s="121"/>
      <c r="OX3" s="121"/>
      <c r="OY3" s="121"/>
      <c r="OZ3" s="121"/>
      <c r="PA3" s="121"/>
      <c r="PB3" s="121"/>
      <c r="PC3" s="121"/>
      <c r="PD3" s="121"/>
      <c r="PE3" s="121"/>
      <c r="PF3" s="121"/>
      <c r="PG3" s="121"/>
      <c r="PH3" s="121"/>
      <c r="PI3" s="121"/>
      <c r="PJ3" s="121"/>
      <c r="PK3" s="121"/>
      <c r="PL3" s="121"/>
      <c r="PM3" s="121"/>
      <c r="PN3" s="121"/>
      <c r="PO3" s="121"/>
      <c r="PP3" s="121"/>
      <c r="PQ3" s="121"/>
      <c r="PR3" s="121"/>
      <c r="PS3" s="121"/>
      <c r="PT3" s="121"/>
      <c r="PU3" s="121"/>
      <c r="PV3" s="121"/>
      <c r="PW3" s="121"/>
      <c r="PX3" s="121"/>
      <c r="PY3" s="121"/>
      <c r="PZ3" s="121"/>
      <c r="QA3" s="121"/>
      <c r="QB3" s="121"/>
      <c r="QC3" s="121"/>
      <c r="QD3" s="121"/>
      <c r="QE3" s="121"/>
      <c r="QF3" s="121"/>
      <c r="QG3" s="121"/>
      <c r="QH3" s="121"/>
      <c r="QI3" s="121"/>
      <c r="QJ3" s="121"/>
      <c r="QK3" s="121"/>
      <c r="QL3" s="121"/>
      <c r="QM3" s="121"/>
      <c r="QN3" s="121"/>
      <c r="QO3" s="121"/>
      <c r="QP3" s="121"/>
      <c r="QQ3" s="121"/>
      <c r="QR3" s="121"/>
      <c r="QS3" s="121"/>
      <c r="QT3" s="121"/>
      <c r="QU3" s="121"/>
      <c r="QV3" s="121"/>
      <c r="QW3" s="121"/>
      <c r="QX3" s="121"/>
      <c r="QY3" s="121"/>
      <c r="QZ3" s="121"/>
      <c r="RA3" s="121"/>
      <c r="RB3" s="121"/>
      <c r="RC3" s="121"/>
      <c r="RD3" s="121"/>
      <c r="RE3" s="121"/>
      <c r="RF3" s="121"/>
      <c r="RG3" s="121"/>
      <c r="RH3" s="121"/>
      <c r="RI3" s="121"/>
      <c r="RJ3" s="121"/>
      <c r="RK3" s="121"/>
      <c r="RL3" s="121"/>
      <c r="RM3" s="121"/>
      <c r="RN3" s="121"/>
      <c r="RO3" s="121"/>
      <c r="RP3" s="121"/>
      <c r="RQ3" s="121"/>
      <c r="RR3" s="121"/>
      <c r="RS3" s="121"/>
      <c r="RT3" s="121"/>
      <c r="RU3" s="121"/>
      <c r="RV3" s="121"/>
      <c r="RW3" s="121"/>
      <c r="RX3" s="121"/>
      <c r="RY3" s="121"/>
      <c r="RZ3" s="121"/>
      <c r="SA3" s="121"/>
      <c r="SB3" s="121"/>
      <c r="SC3" s="121"/>
      <c r="SD3" s="121"/>
      <c r="SE3" s="121"/>
      <c r="SF3" s="121"/>
      <c r="SG3" s="121"/>
      <c r="SH3" s="121"/>
      <c r="SI3" s="121"/>
      <c r="SJ3" s="121"/>
      <c r="SK3" s="121"/>
      <c r="SL3" s="121"/>
      <c r="SM3" s="121"/>
      <c r="SN3" s="121"/>
      <c r="SO3" s="121"/>
      <c r="SP3" s="121"/>
      <c r="SQ3" s="121"/>
      <c r="SR3" s="121"/>
      <c r="SS3" s="121"/>
      <c r="ST3" s="121"/>
      <c r="SU3" s="121"/>
      <c r="SV3" s="121"/>
      <c r="SW3" s="121"/>
      <c r="SX3" s="121"/>
      <c r="SY3" s="121"/>
      <c r="SZ3" s="121"/>
      <c r="TA3" s="121"/>
      <c r="TB3" s="121"/>
      <c r="TC3" s="121"/>
      <c r="TD3" s="121"/>
      <c r="TE3" s="121"/>
      <c r="TF3" s="121"/>
      <c r="TG3" s="121"/>
      <c r="TH3" s="121"/>
      <c r="TI3" s="121"/>
      <c r="TJ3" s="121"/>
      <c r="TK3" s="121"/>
      <c r="TL3" s="121"/>
      <c r="TM3" s="121"/>
      <c r="TN3" s="121"/>
      <c r="TO3" s="121"/>
    </row>
    <row r="4" spans="1:535" ht="14.5" x14ac:dyDescent="0.35">
      <c r="B4" s="1"/>
      <c r="C4" s="9" t="s">
        <v>66</v>
      </c>
      <c r="D4" s="66" t="s">
        <v>58</v>
      </c>
      <c r="E4" s="66" t="str">
        <f t="shared" ref="E4:N4" si="1">D4</f>
        <v>B42:C70</v>
      </c>
      <c r="F4" s="66" t="str">
        <f t="shared" si="1"/>
        <v>B42:C70</v>
      </c>
      <c r="G4" s="66" t="str">
        <f t="shared" si="1"/>
        <v>B42:C70</v>
      </c>
      <c r="H4" s="66" t="str">
        <f t="shared" si="1"/>
        <v>B42:C70</v>
      </c>
      <c r="I4" s="66" t="str">
        <f t="shared" si="1"/>
        <v>B42:C70</v>
      </c>
      <c r="J4" s="66" t="str">
        <f t="shared" si="1"/>
        <v>B42:C70</v>
      </c>
      <c r="K4" s="122"/>
      <c r="L4" s="122"/>
      <c r="M4" s="122"/>
      <c r="N4" s="122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  <c r="IZ4" s="123"/>
      <c r="JA4" s="123"/>
      <c r="JB4" s="123"/>
      <c r="JC4" s="123"/>
      <c r="JD4" s="123"/>
      <c r="JE4" s="123"/>
      <c r="JF4" s="123"/>
      <c r="JG4" s="123"/>
      <c r="JH4" s="123"/>
      <c r="JI4" s="123"/>
      <c r="JJ4" s="123"/>
      <c r="JK4" s="123"/>
      <c r="JL4" s="123"/>
      <c r="JM4" s="123"/>
      <c r="JN4" s="123"/>
      <c r="JO4" s="123"/>
      <c r="JP4" s="123"/>
      <c r="JQ4" s="123"/>
      <c r="JR4" s="123"/>
      <c r="JS4" s="123"/>
      <c r="JT4" s="123"/>
      <c r="JU4" s="123"/>
      <c r="JV4" s="123"/>
      <c r="JW4" s="123"/>
      <c r="JX4" s="123"/>
      <c r="JY4" s="123"/>
      <c r="JZ4" s="123"/>
      <c r="KA4" s="123"/>
      <c r="KB4" s="123"/>
      <c r="KC4" s="123"/>
      <c r="KD4" s="123"/>
      <c r="KE4" s="123"/>
      <c r="KF4" s="123"/>
      <c r="KG4" s="123"/>
      <c r="KH4" s="123"/>
      <c r="KI4" s="123"/>
      <c r="KJ4" s="123"/>
      <c r="KK4" s="123"/>
      <c r="KL4" s="123"/>
      <c r="KM4" s="123"/>
      <c r="KN4" s="123"/>
      <c r="KO4" s="123"/>
      <c r="KP4" s="123"/>
      <c r="KQ4" s="123"/>
      <c r="KR4" s="123"/>
      <c r="KS4" s="123"/>
      <c r="KT4" s="123"/>
      <c r="KU4" s="123"/>
      <c r="KV4" s="123"/>
      <c r="KW4" s="123"/>
      <c r="KX4" s="123"/>
      <c r="KY4" s="123"/>
      <c r="KZ4" s="123"/>
      <c r="LA4" s="123"/>
      <c r="LB4" s="123"/>
      <c r="LC4" s="123"/>
      <c r="LD4" s="123"/>
      <c r="LE4" s="123"/>
      <c r="LF4" s="123"/>
      <c r="LG4" s="123"/>
      <c r="LH4" s="123"/>
      <c r="LI4" s="123"/>
      <c r="LJ4" s="123"/>
      <c r="LK4" s="123"/>
      <c r="LL4" s="123"/>
      <c r="LM4" s="123"/>
      <c r="LN4" s="123"/>
      <c r="LO4" s="123"/>
      <c r="LP4" s="123"/>
      <c r="LQ4" s="123"/>
      <c r="LR4" s="123"/>
      <c r="LS4" s="123"/>
      <c r="LT4" s="123"/>
      <c r="LU4" s="123"/>
      <c r="LV4" s="123"/>
      <c r="LW4" s="123"/>
      <c r="LX4" s="123"/>
      <c r="LY4" s="123"/>
      <c r="LZ4" s="123"/>
      <c r="MA4" s="123"/>
      <c r="MB4" s="123"/>
      <c r="MC4" s="123"/>
      <c r="MD4" s="123"/>
      <c r="ME4" s="123"/>
      <c r="MF4" s="123"/>
      <c r="MG4" s="123"/>
      <c r="MH4" s="123"/>
      <c r="MI4" s="123"/>
      <c r="MJ4" s="123"/>
      <c r="MK4" s="123"/>
      <c r="ML4" s="123"/>
      <c r="MM4" s="123"/>
      <c r="MN4" s="123"/>
      <c r="MO4" s="123"/>
      <c r="MP4" s="123"/>
      <c r="MQ4" s="123"/>
      <c r="MR4" s="123"/>
      <c r="MS4" s="123"/>
      <c r="MT4" s="123"/>
      <c r="MU4" s="123"/>
      <c r="MV4" s="123"/>
      <c r="MW4" s="123"/>
      <c r="MX4" s="123"/>
      <c r="MY4" s="123"/>
      <c r="MZ4" s="123"/>
      <c r="NA4" s="123"/>
      <c r="NB4" s="123"/>
      <c r="NC4" s="123"/>
      <c r="ND4" s="123"/>
      <c r="NE4" s="123"/>
      <c r="NF4" s="123"/>
      <c r="NG4" s="123"/>
      <c r="NH4" s="123"/>
      <c r="NI4" s="123"/>
      <c r="NJ4" s="123"/>
      <c r="NK4" s="123"/>
      <c r="NL4" s="123"/>
      <c r="NM4" s="123"/>
      <c r="NN4" s="123"/>
      <c r="NO4" s="123"/>
      <c r="NP4" s="123"/>
      <c r="NQ4" s="123"/>
      <c r="NR4" s="123"/>
      <c r="NS4" s="123"/>
      <c r="NT4" s="123"/>
      <c r="NU4" s="123"/>
      <c r="NV4" s="123"/>
      <c r="NW4" s="123"/>
      <c r="NX4" s="123"/>
      <c r="NY4" s="123"/>
      <c r="NZ4" s="123"/>
      <c r="OA4" s="123"/>
      <c r="OB4" s="123"/>
      <c r="OC4" s="123"/>
      <c r="OD4" s="123"/>
      <c r="OE4" s="123"/>
      <c r="OF4" s="123"/>
      <c r="OG4" s="123"/>
      <c r="OH4" s="123"/>
      <c r="OI4" s="123"/>
      <c r="OJ4" s="123"/>
      <c r="OK4" s="123"/>
      <c r="OL4" s="123"/>
      <c r="OM4" s="123"/>
      <c r="ON4" s="123"/>
      <c r="OO4" s="123"/>
      <c r="OP4" s="123"/>
      <c r="OQ4" s="123"/>
      <c r="OR4" s="123"/>
      <c r="OS4" s="123"/>
      <c r="OT4" s="123"/>
      <c r="OU4" s="123"/>
      <c r="OV4" s="123"/>
      <c r="OW4" s="123"/>
      <c r="OX4" s="123"/>
      <c r="OY4" s="123"/>
      <c r="OZ4" s="123"/>
      <c r="PA4" s="123"/>
      <c r="PB4" s="123"/>
      <c r="PC4" s="123"/>
      <c r="PD4" s="123"/>
      <c r="PE4" s="123"/>
      <c r="PF4" s="123"/>
      <c r="PG4" s="123"/>
      <c r="PH4" s="123"/>
      <c r="PI4" s="123"/>
      <c r="PJ4" s="123"/>
      <c r="PK4" s="123"/>
      <c r="PL4" s="123"/>
      <c r="PM4" s="123"/>
      <c r="PN4" s="123"/>
      <c r="PO4" s="123"/>
      <c r="PP4" s="123"/>
      <c r="PQ4" s="123"/>
      <c r="PR4" s="123"/>
      <c r="PS4" s="123"/>
      <c r="PT4" s="123"/>
      <c r="PU4" s="123"/>
      <c r="PV4" s="123"/>
      <c r="PW4" s="123"/>
      <c r="PX4" s="123"/>
      <c r="PY4" s="123"/>
      <c r="PZ4" s="123"/>
      <c r="QA4" s="123"/>
      <c r="QB4" s="123"/>
      <c r="QC4" s="123"/>
      <c r="QD4" s="123"/>
      <c r="QE4" s="123"/>
      <c r="QF4" s="123"/>
      <c r="QG4" s="123"/>
      <c r="QH4" s="123"/>
      <c r="QI4" s="123"/>
      <c r="QJ4" s="123"/>
      <c r="QK4" s="123"/>
      <c r="QL4" s="123"/>
      <c r="QM4" s="123"/>
      <c r="QN4" s="123"/>
      <c r="QO4" s="123"/>
      <c r="QP4" s="123"/>
      <c r="QQ4" s="123"/>
      <c r="QR4" s="123"/>
      <c r="QS4" s="123"/>
      <c r="QT4" s="123"/>
      <c r="QU4" s="123"/>
      <c r="QV4" s="123"/>
      <c r="QW4" s="123"/>
      <c r="QX4" s="123"/>
      <c r="QY4" s="123"/>
      <c r="QZ4" s="123"/>
      <c r="RA4" s="123"/>
      <c r="RB4" s="123"/>
      <c r="RC4" s="123"/>
      <c r="RD4" s="123"/>
      <c r="RE4" s="123"/>
      <c r="RF4" s="123"/>
      <c r="RG4" s="123"/>
      <c r="RH4" s="123"/>
      <c r="RI4" s="123"/>
      <c r="RJ4" s="123"/>
      <c r="RK4" s="123"/>
      <c r="RL4" s="123"/>
      <c r="RM4" s="123"/>
      <c r="RN4" s="123"/>
      <c r="RO4" s="123"/>
      <c r="RP4" s="123"/>
      <c r="RQ4" s="123"/>
      <c r="RR4" s="123"/>
      <c r="RS4" s="123"/>
      <c r="RT4" s="123"/>
      <c r="RU4" s="123"/>
      <c r="RV4" s="123"/>
      <c r="RW4" s="123"/>
      <c r="RX4" s="123"/>
      <c r="RY4" s="123"/>
      <c r="RZ4" s="123"/>
      <c r="SA4" s="123"/>
      <c r="SB4" s="123"/>
      <c r="SC4" s="123"/>
      <c r="SD4" s="123"/>
      <c r="SE4" s="123"/>
      <c r="SF4" s="123"/>
      <c r="SG4" s="123"/>
      <c r="SH4" s="123"/>
      <c r="SI4" s="123"/>
      <c r="SJ4" s="123"/>
      <c r="SK4" s="123"/>
      <c r="SL4" s="123"/>
      <c r="SM4" s="123"/>
      <c r="SN4" s="123"/>
      <c r="SO4" s="123"/>
      <c r="SP4" s="123"/>
      <c r="SQ4" s="123"/>
      <c r="SR4" s="123"/>
      <c r="SS4" s="123"/>
      <c r="ST4" s="123"/>
      <c r="SU4" s="123"/>
      <c r="SV4" s="123"/>
      <c r="SW4" s="123"/>
      <c r="SX4" s="123"/>
      <c r="SY4" s="123"/>
      <c r="SZ4" s="123"/>
      <c r="TA4" s="123"/>
      <c r="TB4" s="123"/>
      <c r="TC4" s="123"/>
      <c r="TD4" s="123"/>
      <c r="TE4" s="123"/>
      <c r="TF4" s="123"/>
      <c r="TG4" s="123"/>
      <c r="TH4" s="123"/>
      <c r="TI4" s="123"/>
      <c r="TJ4" s="123"/>
      <c r="TK4" s="123"/>
      <c r="TL4" s="123"/>
      <c r="TM4" s="123"/>
      <c r="TN4" s="123"/>
      <c r="TO4" s="123"/>
    </row>
    <row r="5" spans="1:535" ht="14.5" x14ac:dyDescent="0.35">
      <c r="B5" s="1"/>
      <c r="C5" s="9" t="s">
        <v>51</v>
      </c>
      <c r="D5" s="10" t="s">
        <v>59</v>
      </c>
      <c r="E5" s="66" t="str">
        <f t="shared" ref="E5:N5" si="2">D5</f>
        <v>E42:F70</v>
      </c>
      <c r="F5" s="66" t="str">
        <f t="shared" si="2"/>
        <v>E42:F70</v>
      </c>
      <c r="G5" s="66" t="str">
        <f t="shared" si="2"/>
        <v>E42:F70</v>
      </c>
      <c r="H5" s="66" t="str">
        <f t="shared" si="2"/>
        <v>E42:F70</v>
      </c>
      <c r="I5" s="66" t="str">
        <f t="shared" si="2"/>
        <v>E42:F70</v>
      </c>
      <c r="J5" s="66" t="str">
        <f t="shared" si="2"/>
        <v>E42:F70</v>
      </c>
      <c r="K5" s="122"/>
      <c r="L5" s="122"/>
      <c r="M5" s="122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  <c r="IX5" s="123"/>
      <c r="IY5" s="123"/>
      <c r="IZ5" s="123"/>
      <c r="JA5" s="123"/>
      <c r="JB5" s="123"/>
      <c r="JC5" s="123"/>
      <c r="JD5" s="123"/>
      <c r="JE5" s="123"/>
      <c r="JF5" s="123"/>
      <c r="JG5" s="123"/>
      <c r="JH5" s="123"/>
      <c r="JI5" s="123"/>
      <c r="JJ5" s="123"/>
      <c r="JK5" s="123"/>
      <c r="JL5" s="123"/>
      <c r="JM5" s="123"/>
      <c r="JN5" s="123"/>
      <c r="JO5" s="123"/>
      <c r="JP5" s="123"/>
      <c r="JQ5" s="123"/>
      <c r="JR5" s="123"/>
      <c r="JS5" s="123"/>
      <c r="JT5" s="123"/>
      <c r="JU5" s="123"/>
      <c r="JV5" s="123"/>
      <c r="JW5" s="123"/>
      <c r="JX5" s="123"/>
      <c r="JY5" s="123"/>
      <c r="JZ5" s="123"/>
      <c r="KA5" s="123"/>
      <c r="KB5" s="123"/>
      <c r="KC5" s="123"/>
      <c r="KD5" s="123"/>
      <c r="KE5" s="123"/>
      <c r="KF5" s="123"/>
      <c r="KG5" s="123"/>
      <c r="KH5" s="123"/>
      <c r="KI5" s="123"/>
      <c r="KJ5" s="123"/>
      <c r="KK5" s="123"/>
      <c r="KL5" s="123"/>
      <c r="KM5" s="123"/>
      <c r="KN5" s="123"/>
      <c r="KO5" s="123"/>
      <c r="KP5" s="123"/>
      <c r="KQ5" s="123"/>
      <c r="KR5" s="123"/>
      <c r="KS5" s="123"/>
      <c r="KT5" s="123"/>
      <c r="KU5" s="123"/>
      <c r="KV5" s="123"/>
      <c r="KW5" s="123"/>
      <c r="KX5" s="123"/>
      <c r="KY5" s="123"/>
      <c r="KZ5" s="123"/>
      <c r="LA5" s="123"/>
      <c r="LB5" s="123"/>
      <c r="LC5" s="123"/>
      <c r="LD5" s="123"/>
      <c r="LE5" s="123"/>
      <c r="LF5" s="123"/>
      <c r="LG5" s="123"/>
      <c r="LH5" s="123"/>
      <c r="LI5" s="123"/>
      <c r="LJ5" s="123"/>
      <c r="LK5" s="123"/>
      <c r="LL5" s="123"/>
      <c r="LM5" s="123"/>
      <c r="LN5" s="123"/>
      <c r="LO5" s="123"/>
      <c r="LP5" s="123"/>
      <c r="LQ5" s="123"/>
      <c r="LR5" s="123"/>
      <c r="LS5" s="123"/>
      <c r="LT5" s="123"/>
      <c r="LU5" s="123"/>
      <c r="LV5" s="123"/>
      <c r="LW5" s="123"/>
      <c r="LX5" s="123"/>
      <c r="LY5" s="123"/>
      <c r="LZ5" s="123"/>
      <c r="MA5" s="123"/>
      <c r="MB5" s="123"/>
      <c r="MC5" s="123"/>
      <c r="MD5" s="123"/>
      <c r="ME5" s="123"/>
      <c r="MF5" s="123"/>
      <c r="MG5" s="123"/>
      <c r="MH5" s="123"/>
      <c r="MI5" s="123"/>
      <c r="MJ5" s="123"/>
      <c r="MK5" s="123"/>
      <c r="ML5" s="123"/>
      <c r="MM5" s="123"/>
      <c r="MN5" s="123"/>
      <c r="MO5" s="123"/>
      <c r="MP5" s="123"/>
      <c r="MQ5" s="123"/>
      <c r="MR5" s="123"/>
      <c r="MS5" s="123"/>
      <c r="MT5" s="123"/>
      <c r="MU5" s="123"/>
      <c r="MV5" s="123"/>
      <c r="MW5" s="123"/>
      <c r="MX5" s="123"/>
      <c r="MY5" s="123"/>
      <c r="MZ5" s="123"/>
      <c r="NA5" s="123"/>
      <c r="NB5" s="123"/>
      <c r="NC5" s="123"/>
      <c r="ND5" s="123"/>
      <c r="NE5" s="123"/>
      <c r="NF5" s="123"/>
      <c r="NG5" s="123"/>
      <c r="NH5" s="123"/>
      <c r="NI5" s="123"/>
      <c r="NJ5" s="123"/>
      <c r="NK5" s="123"/>
      <c r="NL5" s="123"/>
      <c r="NM5" s="123"/>
      <c r="NN5" s="123"/>
      <c r="NO5" s="123"/>
      <c r="NP5" s="123"/>
      <c r="NQ5" s="123"/>
      <c r="NR5" s="123"/>
      <c r="NS5" s="123"/>
      <c r="NT5" s="123"/>
      <c r="NU5" s="123"/>
      <c r="NV5" s="123"/>
      <c r="NW5" s="123"/>
      <c r="NX5" s="123"/>
      <c r="NY5" s="123"/>
      <c r="NZ5" s="123"/>
      <c r="OA5" s="123"/>
      <c r="OB5" s="123"/>
      <c r="OC5" s="123"/>
      <c r="OD5" s="123"/>
      <c r="OE5" s="123"/>
      <c r="OF5" s="123"/>
      <c r="OG5" s="123"/>
      <c r="OH5" s="123"/>
      <c r="OI5" s="123"/>
      <c r="OJ5" s="123"/>
      <c r="OK5" s="123"/>
      <c r="OL5" s="123"/>
      <c r="OM5" s="123"/>
      <c r="ON5" s="123"/>
      <c r="OO5" s="123"/>
      <c r="OP5" s="123"/>
      <c r="OQ5" s="123"/>
      <c r="OR5" s="123"/>
      <c r="OS5" s="123"/>
      <c r="OT5" s="123"/>
      <c r="OU5" s="123"/>
      <c r="OV5" s="123"/>
      <c r="OW5" s="123"/>
      <c r="OX5" s="123"/>
      <c r="OY5" s="123"/>
      <c r="OZ5" s="123"/>
      <c r="PA5" s="123"/>
      <c r="PB5" s="123"/>
      <c r="PC5" s="123"/>
      <c r="PD5" s="123"/>
      <c r="PE5" s="123"/>
      <c r="PF5" s="123"/>
      <c r="PG5" s="123"/>
      <c r="PH5" s="123"/>
      <c r="PI5" s="123"/>
      <c r="PJ5" s="123"/>
      <c r="PK5" s="123"/>
      <c r="PL5" s="123"/>
      <c r="PM5" s="123"/>
      <c r="PN5" s="123"/>
      <c r="PO5" s="123"/>
      <c r="PP5" s="123"/>
      <c r="PQ5" s="123"/>
      <c r="PR5" s="123"/>
      <c r="PS5" s="123"/>
      <c r="PT5" s="123"/>
      <c r="PU5" s="123"/>
      <c r="PV5" s="123"/>
      <c r="PW5" s="123"/>
      <c r="PX5" s="123"/>
      <c r="PY5" s="123"/>
      <c r="PZ5" s="123"/>
      <c r="QA5" s="123"/>
      <c r="QB5" s="123"/>
      <c r="QC5" s="123"/>
      <c r="QD5" s="123"/>
      <c r="QE5" s="123"/>
      <c r="QF5" s="123"/>
      <c r="QG5" s="123"/>
      <c r="QH5" s="123"/>
      <c r="QI5" s="123"/>
      <c r="QJ5" s="123"/>
      <c r="QK5" s="123"/>
      <c r="QL5" s="123"/>
      <c r="QM5" s="123"/>
      <c r="QN5" s="123"/>
      <c r="QO5" s="123"/>
      <c r="QP5" s="123"/>
      <c r="QQ5" s="123"/>
      <c r="QR5" s="123"/>
      <c r="QS5" s="123"/>
      <c r="QT5" s="123"/>
      <c r="QU5" s="123"/>
      <c r="QV5" s="123"/>
      <c r="QW5" s="123"/>
      <c r="QX5" s="123"/>
      <c r="QY5" s="123"/>
      <c r="QZ5" s="123"/>
      <c r="RA5" s="123"/>
      <c r="RB5" s="123"/>
      <c r="RC5" s="123"/>
      <c r="RD5" s="123"/>
      <c r="RE5" s="123"/>
      <c r="RF5" s="123"/>
      <c r="RG5" s="123"/>
      <c r="RH5" s="123"/>
      <c r="RI5" s="123"/>
      <c r="RJ5" s="123"/>
      <c r="RK5" s="123"/>
      <c r="RL5" s="123"/>
      <c r="RM5" s="123"/>
      <c r="RN5" s="123"/>
      <c r="RO5" s="123"/>
      <c r="RP5" s="123"/>
      <c r="RQ5" s="123"/>
      <c r="RR5" s="123"/>
      <c r="RS5" s="123"/>
      <c r="RT5" s="123"/>
      <c r="RU5" s="123"/>
      <c r="RV5" s="123"/>
      <c r="RW5" s="123"/>
      <c r="RX5" s="123"/>
      <c r="RY5" s="123"/>
      <c r="RZ5" s="123"/>
      <c r="SA5" s="123"/>
      <c r="SB5" s="123"/>
      <c r="SC5" s="123"/>
      <c r="SD5" s="123"/>
      <c r="SE5" s="123"/>
      <c r="SF5" s="123"/>
      <c r="SG5" s="123"/>
      <c r="SH5" s="123"/>
      <c r="SI5" s="123"/>
      <c r="SJ5" s="123"/>
      <c r="SK5" s="123"/>
      <c r="SL5" s="123"/>
      <c r="SM5" s="123"/>
      <c r="SN5" s="123"/>
      <c r="SO5" s="123"/>
      <c r="SP5" s="123"/>
      <c r="SQ5" s="123"/>
      <c r="SR5" s="123"/>
      <c r="SS5" s="123"/>
      <c r="ST5" s="123"/>
      <c r="SU5" s="123"/>
      <c r="SV5" s="123"/>
      <c r="SW5" s="123"/>
      <c r="SX5" s="123"/>
      <c r="SY5" s="123"/>
      <c r="SZ5" s="123"/>
      <c r="TA5" s="123"/>
      <c r="TB5" s="123"/>
      <c r="TC5" s="123"/>
      <c r="TD5" s="123"/>
      <c r="TE5" s="123"/>
      <c r="TF5" s="123"/>
      <c r="TG5" s="123"/>
      <c r="TH5" s="123"/>
      <c r="TI5" s="123"/>
      <c r="TJ5" s="123"/>
      <c r="TK5" s="123"/>
      <c r="TL5" s="123"/>
      <c r="TM5" s="123"/>
      <c r="TN5" s="123"/>
      <c r="TO5" s="123"/>
    </row>
    <row r="6" spans="1:535" ht="14.5" x14ac:dyDescent="0.35">
      <c r="B6" s="1"/>
      <c r="C6" s="105"/>
      <c r="D6" s="106"/>
      <c r="E6" s="107"/>
      <c r="F6" s="107"/>
      <c r="G6" s="107"/>
      <c r="H6" s="107"/>
      <c r="I6" s="107"/>
      <c r="J6" s="107"/>
      <c r="K6" s="122"/>
      <c r="L6" s="122"/>
      <c r="M6" s="122"/>
      <c r="N6" s="122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  <c r="IW6" s="123"/>
      <c r="IX6" s="123"/>
      <c r="IY6" s="123"/>
      <c r="IZ6" s="123"/>
      <c r="JA6" s="123"/>
      <c r="JB6" s="123"/>
      <c r="JC6" s="123"/>
      <c r="JD6" s="123"/>
      <c r="JE6" s="123"/>
      <c r="JF6" s="123"/>
      <c r="JG6" s="123"/>
      <c r="JH6" s="123"/>
      <c r="JI6" s="123"/>
      <c r="JJ6" s="123"/>
      <c r="JK6" s="123"/>
      <c r="JL6" s="123"/>
      <c r="JM6" s="123"/>
      <c r="JN6" s="123"/>
      <c r="JO6" s="123"/>
      <c r="JP6" s="123"/>
      <c r="JQ6" s="123"/>
      <c r="JR6" s="123"/>
      <c r="JS6" s="123"/>
      <c r="JT6" s="123"/>
      <c r="JU6" s="123"/>
      <c r="JV6" s="123"/>
      <c r="JW6" s="123"/>
      <c r="JX6" s="123"/>
      <c r="JY6" s="123"/>
      <c r="JZ6" s="123"/>
      <c r="KA6" s="123"/>
      <c r="KB6" s="123"/>
      <c r="KC6" s="123"/>
      <c r="KD6" s="123"/>
      <c r="KE6" s="123"/>
      <c r="KF6" s="123"/>
      <c r="KG6" s="123"/>
      <c r="KH6" s="123"/>
      <c r="KI6" s="123"/>
      <c r="KJ6" s="123"/>
      <c r="KK6" s="123"/>
      <c r="KL6" s="123"/>
      <c r="KM6" s="123"/>
      <c r="KN6" s="123"/>
      <c r="KO6" s="123"/>
      <c r="KP6" s="123"/>
      <c r="KQ6" s="123"/>
      <c r="KR6" s="123"/>
      <c r="KS6" s="123"/>
      <c r="KT6" s="123"/>
      <c r="KU6" s="123"/>
      <c r="KV6" s="123"/>
      <c r="KW6" s="123"/>
      <c r="KX6" s="123"/>
      <c r="KY6" s="123"/>
      <c r="KZ6" s="123"/>
      <c r="LA6" s="123"/>
      <c r="LB6" s="123"/>
      <c r="LC6" s="123"/>
      <c r="LD6" s="123"/>
      <c r="LE6" s="123"/>
      <c r="LF6" s="123"/>
      <c r="LG6" s="123"/>
      <c r="LH6" s="123"/>
      <c r="LI6" s="123"/>
      <c r="LJ6" s="123"/>
      <c r="LK6" s="123"/>
      <c r="LL6" s="123"/>
      <c r="LM6" s="123"/>
      <c r="LN6" s="123"/>
      <c r="LO6" s="123"/>
      <c r="LP6" s="123"/>
      <c r="LQ6" s="123"/>
      <c r="LR6" s="123"/>
      <c r="LS6" s="123"/>
      <c r="LT6" s="123"/>
      <c r="LU6" s="123"/>
      <c r="LV6" s="123"/>
      <c r="LW6" s="123"/>
      <c r="LX6" s="123"/>
      <c r="LY6" s="123"/>
      <c r="LZ6" s="123"/>
      <c r="MA6" s="123"/>
      <c r="MB6" s="123"/>
      <c r="MC6" s="123"/>
      <c r="MD6" s="123"/>
      <c r="ME6" s="123"/>
      <c r="MF6" s="123"/>
      <c r="MG6" s="123"/>
      <c r="MH6" s="123"/>
      <c r="MI6" s="123"/>
      <c r="MJ6" s="123"/>
      <c r="MK6" s="123"/>
      <c r="ML6" s="123"/>
      <c r="MM6" s="123"/>
      <c r="MN6" s="123"/>
      <c r="MO6" s="123"/>
      <c r="MP6" s="123"/>
      <c r="MQ6" s="123"/>
      <c r="MR6" s="123"/>
      <c r="MS6" s="123"/>
      <c r="MT6" s="123"/>
      <c r="MU6" s="123"/>
      <c r="MV6" s="123"/>
      <c r="MW6" s="123"/>
      <c r="MX6" s="123"/>
      <c r="MY6" s="123"/>
      <c r="MZ6" s="123"/>
      <c r="NA6" s="123"/>
      <c r="NB6" s="123"/>
      <c r="NC6" s="123"/>
      <c r="ND6" s="123"/>
      <c r="NE6" s="123"/>
      <c r="NF6" s="123"/>
      <c r="NG6" s="123"/>
      <c r="NH6" s="123"/>
      <c r="NI6" s="123"/>
      <c r="NJ6" s="123"/>
      <c r="NK6" s="123"/>
      <c r="NL6" s="123"/>
      <c r="NM6" s="123"/>
      <c r="NN6" s="123"/>
      <c r="NO6" s="123"/>
      <c r="NP6" s="123"/>
      <c r="NQ6" s="123"/>
      <c r="NR6" s="123"/>
      <c r="NS6" s="123"/>
      <c r="NT6" s="123"/>
      <c r="NU6" s="123"/>
      <c r="NV6" s="123"/>
      <c r="NW6" s="123"/>
      <c r="NX6" s="123"/>
      <c r="NY6" s="123"/>
      <c r="NZ6" s="123"/>
      <c r="OA6" s="123"/>
      <c r="OB6" s="123"/>
      <c r="OC6" s="123"/>
      <c r="OD6" s="123"/>
      <c r="OE6" s="123"/>
      <c r="OF6" s="123"/>
      <c r="OG6" s="123"/>
      <c r="OH6" s="123"/>
      <c r="OI6" s="123"/>
      <c r="OJ6" s="123"/>
      <c r="OK6" s="123"/>
      <c r="OL6" s="123"/>
      <c r="OM6" s="123"/>
      <c r="ON6" s="123"/>
      <c r="OO6" s="123"/>
      <c r="OP6" s="123"/>
      <c r="OQ6" s="123"/>
      <c r="OR6" s="123"/>
      <c r="OS6" s="123"/>
      <c r="OT6" s="123"/>
      <c r="OU6" s="123"/>
      <c r="OV6" s="123"/>
      <c r="OW6" s="123"/>
      <c r="OX6" s="123"/>
      <c r="OY6" s="123"/>
      <c r="OZ6" s="123"/>
      <c r="PA6" s="123"/>
      <c r="PB6" s="123"/>
      <c r="PC6" s="123"/>
      <c r="PD6" s="123"/>
      <c r="PE6" s="123"/>
      <c r="PF6" s="123"/>
      <c r="PG6" s="123"/>
      <c r="PH6" s="123"/>
      <c r="PI6" s="123"/>
      <c r="PJ6" s="123"/>
      <c r="PK6" s="123"/>
      <c r="PL6" s="123"/>
      <c r="PM6" s="123"/>
      <c r="PN6" s="123"/>
      <c r="PO6" s="123"/>
      <c r="PP6" s="123"/>
      <c r="PQ6" s="123"/>
      <c r="PR6" s="123"/>
      <c r="PS6" s="123"/>
      <c r="PT6" s="123"/>
      <c r="PU6" s="123"/>
      <c r="PV6" s="123"/>
      <c r="PW6" s="123"/>
      <c r="PX6" s="123"/>
      <c r="PY6" s="123"/>
      <c r="PZ6" s="123"/>
      <c r="QA6" s="123"/>
      <c r="QB6" s="123"/>
      <c r="QC6" s="123"/>
      <c r="QD6" s="123"/>
      <c r="QE6" s="123"/>
      <c r="QF6" s="123"/>
      <c r="QG6" s="123"/>
      <c r="QH6" s="123"/>
      <c r="QI6" s="123"/>
      <c r="QJ6" s="123"/>
      <c r="QK6" s="123"/>
      <c r="QL6" s="123"/>
      <c r="QM6" s="123"/>
      <c r="QN6" s="123"/>
      <c r="QO6" s="123"/>
      <c r="QP6" s="123"/>
      <c r="QQ6" s="123"/>
      <c r="QR6" s="123"/>
      <c r="QS6" s="123"/>
      <c r="QT6" s="123"/>
      <c r="QU6" s="123"/>
      <c r="QV6" s="123"/>
      <c r="QW6" s="123"/>
      <c r="QX6" s="123"/>
      <c r="QY6" s="123"/>
      <c r="QZ6" s="123"/>
      <c r="RA6" s="123"/>
      <c r="RB6" s="123"/>
      <c r="RC6" s="123"/>
      <c r="RD6" s="123"/>
      <c r="RE6" s="123"/>
      <c r="RF6" s="123"/>
      <c r="RG6" s="123"/>
      <c r="RH6" s="123"/>
      <c r="RI6" s="123"/>
      <c r="RJ6" s="123"/>
      <c r="RK6" s="123"/>
      <c r="RL6" s="123"/>
      <c r="RM6" s="123"/>
      <c r="RN6" s="123"/>
      <c r="RO6" s="123"/>
      <c r="RP6" s="123"/>
      <c r="RQ6" s="123"/>
      <c r="RR6" s="123"/>
      <c r="RS6" s="123"/>
      <c r="RT6" s="123"/>
      <c r="RU6" s="123"/>
      <c r="RV6" s="123"/>
      <c r="RW6" s="123"/>
      <c r="RX6" s="123"/>
      <c r="RY6" s="123"/>
      <c r="RZ6" s="123"/>
      <c r="SA6" s="123"/>
      <c r="SB6" s="123"/>
      <c r="SC6" s="123"/>
      <c r="SD6" s="123"/>
      <c r="SE6" s="123"/>
      <c r="SF6" s="123"/>
      <c r="SG6" s="123"/>
      <c r="SH6" s="123"/>
      <c r="SI6" s="123"/>
      <c r="SJ6" s="123"/>
      <c r="SK6" s="123"/>
      <c r="SL6" s="123"/>
      <c r="SM6" s="123"/>
      <c r="SN6" s="123"/>
      <c r="SO6" s="123"/>
      <c r="SP6" s="123"/>
      <c r="SQ6" s="123"/>
      <c r="SR6" s="123"/>
      <c r="SS6" s="123"/>
      <c r="ST6" s="123"/>
      <c r="SU6" s="123"/>
      <c r="SV6" s="123"/>
      <c r="SW6" s="123"/>
      <c r="SX6" s="123"/>
      <c r="SY6" s="123"/>
      <c r="SZ6" s="123"/>
      <c r="TA6" s="123"/>
      <c r="TB6" s="123"/>
      <c r="TC6" s="123"/>
      <c r="TD6" s="123"/>
      <c r="TE6" s="123"/>
      <c r="TF6" s="123"/>
      <c r="TG6" s="123"/>
      <c r="TH6" s="123"/>
      <c r="TI6" s="123"/>
      <c r="TJ6" s="123"/>
      <c r="TK6" s="123"/>
      <c r="TL6" s="123"/>
      <c r="TM6" s="123"/>
      <c r="TN6" s="123"/>
      <c r="TO6" s="123"/>
    </row>
    <row r="7" spans="1:535" ht="14.5" x14ac:dyDescent="0.35">
      <c r="D7" s="10"/>
      <c r="E7" s="10"/>
      <c r="F7" s="10"/>
      <c r="G7" s="10"/>
      <c r="H7" s="10"/>
      <c r="I7" s="10"/>
      <c r="J7" s="10"/>
      <c r="K7" s="124"/>
      <c r="L7" s="124"/>
      <c r="M7" s="124"/>
      <c r="N7" s="124"/>
    </row>
    <row r="8" spans="1:535" ht="14.5" x14ac:dyDescent="0.35">
      <c r="D8" s="10"/>
      <c r="E8" s="10"/>
      <c r="F8" s="10"/>
      <c r="G8" s="10"/>
      <c r="H8" s="10"/>
      <c r="I8" s="10"/>
      <c r="J8" s="10"/>
      <c r="K8" s="124"/>
      <c r="L8" s="124"/>
      <c r="M8" s="124"/>
      <c r="N8" s="124"/>
    </row>
    <row r="9" spans="1:535" ht="14.5" x14ac:dyDescent="0.35">
      <c r="D9" s="10"/>
      <c r="E9" s="10"/>
      <c r="F9" s="10"/>
      <c r="G9" s="10"/>
      <c r="H9" s="10"/>
      <c r="I9" s="10"/>
      <c r="J9" s="10"/>
      <c r="K9" s="124"/>
      <c r="L9" s="124"/>
      <c r="M9" s="124"/>
      <c r="N9" s="124"/>
    </row>
    <row r="10" spans="1:535" ht="14.5" x14ac:dyDescent="0.35">
      <c r="C10" s="10"/>
      <c r="D10" s="10"/>
    </row>
    <row r="11" spans="1:535" ht="14.5" x14ac:dyDescent="0.35">
      <c r="C11" s="10"/>
      <c r="D11" s="10"/>
    </row>
    <row r="12" spans="1:535" ht="14.5" x14ac:dyDescent="0.35">
      <c r="C12" s="10"/>
      <c r="D12" s="10"/>
    </row>
    <row r="13" spans="1:535" ht="12" customHeight="1" x14ac:dyDescent="0.25"/>
    <row r="14" spans="1:535" ht="12" customHeight="1" x14ac:dyDescent="0.25"/>
    <row r="15" spans="1:535" ht="12" customHeight="1" x14ac:dyDescent="0.25"/>
    <row r="16" spans="1:535" ht="12" customHeight="1" x14ac:dyDescent="0.35">
      <c r="C16" s="10"/>
      <c r="D16" s="10"/>
    </row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000"/>
  <sheetViews>
    <sheetView showGridLines="0" workbookViewId="0">
      <selection activeCell="A57" sqref="A57"/>
    </sheetView>
  </sheetViews>
  <sheetFormatPr baseColWidth="10" defaultColWidth="12.6328125" defaultRowHeight="15" customHeight="1" x14ac:dyDescent="0.25"/>
  <cols>
    <col min="1" max="1" width="32.453125" customWidth="1"/>
    <col min="2" max="2" width="15.1796875" customWidth="1"/>
    <col min="3" max="3" width="11.453125" customWidth="1"/>
    <col min="4" max="5" width="10.453125" customWidth="1"/>
    <col min="6" max="6" width="11.453125" customWidth="1"/>
    <col min="7" max="8" width="10.453125" customWidth="1"/>
    <col min="9" max="9" width="24.90625" customWidth="1"/>
    <col min="10" max="10" width="25" customWidth="1"/>
    <col min="11" max="13" width="10.453125" customWidth="1"/>
    <col min="14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29" width="23.08984375" customWidth="1"/>
  </cols>
  <sheetData>
    <row r="1" spans="1:29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</row>
    <row r="6" spans="1:29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</row>
    <row r="7" spans="1:29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4" x14ac:dyDescent="0.25">
      <c r="A8" s="27"/>
      <c r="B8" s="28"/>
      <c r="C8" s="29"/>
      <c r="D8" s="29"/>
      <c r="E8" s="29"/>
      <c r="F8" s="29"/>
      <c r="G8" s="30"/>
      <c r="H8" s="30"/>
      <c r="I8" s="31"/>
      <c r="J8" s="28"/>
      <c r="K8" s="29"/>
      <c r="L8" s="29"/>
      <c r="M8" s="29"/>
      <c r="N8" s="29"/>
      <c r="O8" s="30"/>
      <c r="P8" s="30"/>
      <c r="Q8" s="30"/>
      <c r="R8" s="30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</row>
    <row r="9" spans="1:29" ht="14" x14ac:dyDescent="0.3">
      <c r="A9" s="33"/>
      <c r="B9" s="34"/>
      <c r="C9" s="35"/>
      <c r="D9" s="35"/>
      <c r="E9" s="35"/>
      <c r="F9" s="35"/>
      <c r="G9" s="35"/>
      <c r="H9" s="35"/>
      <c r="I9" s="31"/>
      <c r="J9" s="34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</row>
    <row r="10" spans="1:29" ht="14" x14ac:dyDescent="0.25">
      <c r="A10" s="33"/>
      <c r="B10" s="31"/>
      <c r="C10" s="36"/>
      <c r="D10" s="36"/>
      <c r="E10" s="36"/>
      <c r="F10" s="36"/>
      <c r="G10" s="36"/>
      <c r="H10" s="36"/>
      <c r="I10" s="31"/>
      <c r="J10" s="31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</row>
    <row r="11" spans="1:29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</row>
    <row r="12" spans="1:29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</row>
    <row r="13" spans="1:29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</row>
    <row r="14" spans="1:29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</row>
    <row r="15" spans="1:29" ht="14" x14ac:dyDescent="0.25">
      <c r="A15" s="33"/>
      <c r="B15" s="31"/>
      <c r="C15" s="36"/>
      <c r="D15" s="36"/>
      <c r="E15" s="36"/>
      <c r="F15" s="36"/>
      <c r="G15" s="39"/>
      <c r="H15" s="39"/>
      <c r="I15" s="31"/>
      <c r="J15" s="31"/>
      <c r="K15" s="36"/>
      <c r="L15" s="36"/>
      <c r="M15" s="36"/>
      <c r="N15" s="36"/>
      <c r="O15" s="39"/>
      <c r="P15" s="39"/>
      <c r="Q15" s="39"/>
      <c r="R15" s="39"/>
      <c r="S15" s="39"/>
      <c r="T15" s="39"/>
      <c r="U15" s="39"/>
      <c r="V15" s="39"/>
      <c r="W15" s="39"/>
      <c r="X15" s="40"/>
      <c r="Y15" s="40"/>
      <c r="Z15" s="40"/>
      <c r="AA15" s="40"/>
      <c r="AB15" s="40"/>
      <c r="AC15" s="40"/>
    </row>
    <row r="16" spans="1:29" ht="14" x14ac:dyDescent="0.25">
      <c r="A16" s="33"/>
      <c r="B16" s="31"/>
      <c r="C16" s="36"/>
      <c r="D16" s="36"/>
      <c r="E16" s="36"/>
      <c r="F16" s="36"/>
      <c r="G16" s="30"/>
      <c r="H16" s="30"/>
      <c r="I16" s="31"/>
      <c r="J16" s="31"/>
      <c r="K16" s="36"/>
      <c r="L16" s="36"/>
      <c r="M16" s="36"/>
      <c r="N16" s="36"/>
      <c r="O16" s="30"/>
      <c r="P16" s="30"/>
      <c r="Q16" s="30"/>
      <c r="R16" s="30"/>
      <c r="S16" s="30"/>
      <c r="T16" s="30"/>
      <c r="U16" s="30"/>
      <c r="V16" s="30"/>
      <c r="W16" s="30"/>
      <c r="X16" s="32"/>
      <c r="Y16" s="32"/>
      <c r="Z16" s="32"/>
      <c r="AA16" s="32"/>
      <c r="AB16" s="32"/>
      <c r="AC16" s="32"/>
    </row>
    <row r="17" spans="1:29" ht="14" x14ac:dyDescent="0.25">
      <c r="A17" s="41"/>
      <c r="B17" s="31"/>
      <c r="C17" s="36"/>
      <c r="D17" s="36"/>
      <c r="E17" s="36"/>
      <c r="F17" s="36"/>
      <c r="G17" s="36"/>
      <c r="H17" s="36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0"/>
      <c r="Y17" s="40"/>
      <c r="Z17" s="40"/>
      <c r="AA17" s="40"/>
      <c r="AB17" s="40"/>
      <c r="AC17" s="40"/>
    </row>
    <row r="18" spans="1:29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0"/>
      <c r="Y18" s="40"/>
      <c r="Z18" s="40"/>
      <c r="AA18" s="40"/>
      <c r="AB18" s="40"/>
      <c r="AC18" s="40"/>
    </row>
    <row r="19" spans="1:29" ht="14" x14ac:dyDescent="0.25">
      <c r="A19" s="40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0"/>
      <c r="Y19" s="40"/>
      <c r="Z19" s="40"/>
      <c r="AA19" s="40"/>
      <c r="AB19" s="40"/>
      <c r="AC19" s="40"/>
    </row>
    <row r="20" spans="1:29" ht="14" x14ac:dyDescent="0.25">
      <c r="A20" s="40"/>
      <c r="B20" s="31"/>
      <c r="C20" s="31"/>
      <c r="D20" s="31"/>
      <c r="E20" s="31"/>
      <c r="F20" s="31"/>
      <c r="G20" s="36"/>
      <c r="H20" s="36"/>
      <c r="I20" s="31"/>
      <c r="J20" s="3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40"/>
      <c r="Y20" s="40"/>
      <c r="Z20" s="40"/>
      <c r="AA20" s="40"/>
      <c r="AB20" s="40"/>
      <c r="AC20" s="40"/>
    </row>
    <row r="21" spans="1:29" ht="15.75" customHeight="1" x14ac:dyDescent="0.3">
      <c r="A21" s="40"/>
      <c r="B21" s="31"/>
      <c r="C21" s="29"/>
      <c r="D21" s="29"/>
      <c r="E21" s="29"/>
      <c r="F21" s="29"/>
      <c r="G21" s="35"/>
      <c r="H21" s="35"/>
      <c r="I21" s="31"/>
      <c r="J21" s="31"/>
      <c r="K21" s="36"/>
      <c r="L21" s="36"/>
      <c r="M21" s="36"/>
      <c r="N21" s="36"/>
      <c r="O21" s="35"/>
      <c r="P21" s="42"/>
      <c r="Q21" s="42"/>
      <c r="R21" s="42"/>
      <c r="S21" s="42"/>
      <c r="T21" s="42"/>
      <c r="U21" s="42"/>
      <c r="V21" s="42"/>
      <c r="W21" s="42"/>
      <c r="X21" s="40"/>
      <c r="Y21" s="40"/>
      <c r="Z21" s="40"/>
      <c r="AA21" s="40"/>
      <c r="AB21" s="40"/>
      <c r="AC21" s="40"/>
    </row>
    <row r="22" spans="1:29" ht="15.75" customHeight="1" x14ac:dyDescent="0.3">
      <c r="A22" s="40"/>
      <c r="B22" s="34"/>
      <c r="C22" s="35"/>
      <c r="D22" s="35"/>
      <c r="E22" s="35"/>
      <c r="F22" s="35"/>
      <c r="G22" s="42"/>
      <c r="H22" s="42"/>
      <c r="I22" s="31"/>
      <c r="J22" s="31"/>
      <c r="K22" s="36"/>
      <c r="L22" s="36"/>
      <c r="M22" s="36"/>
      <c r="N22" s="36"/>
      <c r="O22" s="42"/>
      <c r="P22" s="42"/>
      <c r="Q22" s="42"/>
      <c r="R22" s="42"/>
      <c r="S22" s="42"/>
      <c r="T22" s="42"/>
      <c r="U22" s="42"/>
      <c r="V22" s="42"/>
      <c r="W22" s="42"/>
      <c r="X22" s="40"/>
      <c r="Y22" s="40"/>
      <c r="Z22" s="40"/>
      <c r="AA22" s="40"/>
      <c r="AB22" s="40"/>
      <c r="AC22" s="40"/>
    </row>
    <row r="23" spans="1:29" ht="15.75" customHeight="1" x14ac:dyDescent="0.25">
      <c r="A23" s="40"/>
      <c r="B23" s="31"/>
      <c r="C23" s="42"/>
      <c r="D23" s="42"/>
      <c r="E23" s="42"/>
      <c r="F23" s="42"/>
      <c r="G23" s="42"/>
      <c r="H23" s="42"/>
      <c r="I23" s="31"/>
      <c r="J23" s="31"/>
      <c r="K23" s="36"/>
      <c r="L23" s="36"/>
      <c r="M23" s="36"/>
      <c r="N23" s="36"/>
      <c r="O23" s="42"/>
      <c r="P23" s="42"/>
      <c r="Q23" s="42"/>
      <c r="R23" s="42"/>
      <c r="S23" s="42"/>
      <c r="T23" s="42"/>
      <c r="U23" s="42"/>
      <c r="V23" s="42"/>
      <c r="W23" s="42"/>
      <c r="X23" s="40"/>
      <c r="Y23" s="40"/>
      <c r="Z23" s="40"/>
      <c r="AA23" s="40"/>
      <c r="AB23" s="40"/>
      <c r="AC23" s="40"/>
    </row>
    <row r="24" spans="1:29" ht="15.75" customHeight="1" x14ac:dyDescent="0.25">
      <c r="A24" s="40"/>
      <c r="B24" s="31"/>
      <c r="C24" s="42"/>
      <c r="D24" s="42"/>
      <c r="E24" s="42"/>
      <c r="F24" s="42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0"/>
      <c r="AB24" s="40"/>
      <c r="AC24" s="40"/>
    </row>
    <row r="25" spans="1:29" ht="15.75" customHeight="1" x14ac:dyDescent="0.25">
      <c r="A25" s="40"/>
      <c r="B25" s="44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43"/>
      <c r="Y25" s="43"/>
      <c r="Z25" s="43"/>
      <c r="AA25" s="40"/>
      <c r="AB25" s="40"/>
      <c r="AC25" s="40"/>
    </row>
    <row r="26" spans="1:29" ht="15.75" customHeight="1" x14ac:dyDescent="0.25">
      <c r="A26" s="40"/>
      <c r="B26" s="44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43"/>
      <c r="Y26" s="43"/>
      <c r="Z26" s="43"/>
      <c r="AA26" s="40"/>
      <c r="AB26" s="40"/>
      <c r="AC26" s="40"/>
    </row>
    <row r="27" spans="1:29" ht="15.75" customHeight="1" x14ac:dyDescent="0.25">
      <c r="A27" s="40"/>
      <c r="B27" s="44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43"/>
      <c r="Y27" s="43"/>
      <c r="Z27" s="43"/>
      <c r="AA27" s="40"/>
      <c r="AB27" s="40"/>
      <c r="AC27" s="40"/>
    </row>
    <row r="28" spans="1:29" ht="15.75" customHeight="1" x14ac:dyDescent="0.25">
      <c r="A28" s="40"/>
      <c r="B28" s="44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43"/>
      <c r="Y28" s="43"/>
      <c r="Z28" s="43"/>
      <c r="AA28" s="40"/>
      <c r="AB28" s="40"/>
      <c r="AC28" s="40"/>
    </row>
    <row r="29" spans="1:29" ht="15.75" customHeight="1" x14ac:dyDescent="0.25">
      <c r="A29" s="40"/>
      <c r="B29" s="44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43"/>
      <c r="Y29" s="43"/>
      <c r="Z29" s="43"/>
      <c r="AA29" s="40"/>
      <c r="AB29" s="40"/>
      <c r="AC29" s="40"/>
    </row>
    <row r="30" spans="1:29" ht="15.75" customHeight="1" x14ac:dyDescent="0.25">
      <c r="A30" s="45"/>
      <c r="B30" s="46"/>
      <c r="C30" s="47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9"/>
      <c r="Y30" s="49"/>
      <c r="Z30" s="49"/>
      <c r="AA30" s="45"/>
      <c r="AB30" s="45"/>
      <c r="AC30" s="45"/>
    </row>
    <row r="31" spans="1:29" ht="15.75" customHeight="1" x14ac:dyDescent="0.25">
      <c r="A31" s="45"/>
      <c r="B31" s="46"/>
      <c r="C31" s="47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9"/>
      <c r="Y31" s="49"/>
      <c r="Z31" s="49"/>
      <c r="AA31" s="45"/>
      <c r="AB31" s="45"/>
      <c r="AC31" s="45"/>
    </row>
    <row r="32" spans="1:29" ht="15.75" customHeight="1" x14ac:dyDescent="0.25">
      <c r="A32" s="45"/>
      <c r="B32" s="46"/>
      <c r="C32" s="47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9"/>
      <c r="Y32" s="49"/>
      <c r="Z32" s="49"/>
      <c r="AA32" s="45"/>
      <c r="AB32" s="45"/>
      <c r="AC32" s="45"/>
    </row>
    <row r="33" spans="1:29" ht="15.75" customHeight="1" x14ac:dyDescent="0.25">
      <c r="A33" s="45"/>
      <c r="B33" s="46"/>
      <c r="C33" s="47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9"/>
      <c r="Y33" s="49"/>
      <c r="Z33" s="49"/>
      <c r="AA33" s="45"/>
      <c r="AB33" s="45"/>
      <c r="AC33" s="45"/>
    </row>
    <row r="34" spans="1:29" ht="15.75" customHeight="1" x14ac:dyDescent="0.25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9"/>
      <c r="Y34" s="49"/>
      <c r="Z34" s="49"/>
      <c r="AA34" s="45"/>
      <c r="AB34" s="45"/>
      <c r="AC34" s="45"/>
    </row>
    <row r="35" spans="1:29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</row>
    <row r="36" spans="1:29" ht="15.75" customHeight="1" x14ac:dyDescent="0.25">
      <c r="A36" s="45"/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9"/>
      <c r="Y36" s="49"/>
      <c r="Z36" s="49"/>
      <c r="AA36" s="45"/>
      <c r="AB36" s="45"/>
      <c r="AC36" s="45"/>
    </row>
    <row r="37" spans="1:29" ht="15.75" customHeight="1" x14ac:dyDescent="0.25">
      <c r="A37" s="45"/>
      <c r="B37" s="50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51"/>
      <c r="Y37" s="51"/>
      <c r="Z37" s="51"/>
      <c r="AA37" s="51"/>
      <c r="AB37" s="51"/>
      <c r="AC37" s="51"/>
    </row>
    <row r="38" spans="1:29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</row>
    <row r="39" spans="1:29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</row>
    <row r="40" spans="1:29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</row>
    <row r="41" spans="1:29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5.75" customHeight="1" x14ac:dyDescent="0.25">
      <c r="A42" s="11"/>
      <c r="B42" s="53" t="s">
        <v>66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11"/>
      <c r="L42" s="55"/>
      <c r="M42" s="11"/>
      <c r="N42" s="11"/>
      <c r="O42" s="55"/>
      <c r="P42" s="11"/>
      <c r="Q42" s="11"/>
      <c r="R42" s="55"/>
      <c r="S42" s="11"/>
      <c r="T42" s="11"/>
      <c r="U42" s="55"/>
      <c r="V42" s="11"/>
      <c r="W42" s="11"/>
      <c r="X42" s="55"/>
      <c r="Y42" s="11"/>
      <c r="Z42" s="11"/>
      <c r="AA42" s="11"/>
      <c r="AB42" s="11"/>
      <c r="AC42" s="11"/>
    </row>
    <row r="43" spans="1:29" ht="15.75" customHeight="1" x14ac:dyDescent="0.25">
      <c r="A43" s="11"/>
      <c r="B43" s="21" t="s">
        <v>20</v>
      </c>
      <c r="C43" s="56">
        <v>0.55035080000000003</v>
      </c>
      <c r="D43" s="57"/>
      <c r="E43" s="21" t="s">
        <v>20</v>
      </c>
      <c r="F43" s="56">
        <v>4.571704E-2</v>
      </c>
      <c r="G43" s="57"/>
      <c r="H43" s="100"/>
      <c r="I43" s="101"/>
      <c r="J43" s="102"/>
      <c r="K43" s="11"/>
      <c r="L43" s="58"/>
      <c r="M43" s="11"/>
      <c r="N43" s="11"/>
      <c r="O43" s="58"/>
      <c r="P43" s="11"/>
      <c r="Q43" s="59"/>
      <c r="R43" s="26"/>
      <c r="S43" s="11"/>
      <c r="T43" s="26"/>
      <c r="U43" s="26"/>
      <c r="V43" s="11"/>
      <c r="W43" s="26"/>
      <c r="X43" s="26"/>
      <c r="Y43" s="11"/>
      <c r="Z43" s="11"/>
      <c r="AA43" s="11"/>
      <c r="AB43" s="11"/>
      <c r="AC43" s="11"/>
    </row>
    <row r="44" spans="1:29" ht="15.75" customHeight="1" x14ac:dyDescent="0.25">
      <c r="A44" s="11"/>
      <c r="B44" s="21" t="s">
        <v>21</v>
      </c>
      <c r="C44" s="56">
        <v>0.53446070000000001</v>
      </c>
      <c r="D44" s="57"/>
      <c r="E44" s="21" t="s">
        <v>21</v>
      </c>
      <c r="F44" s="56">
        <v>4.5654550000000002E-2</v>
      </c>
      <c r="G44" s="57"/>
      <c r="H44" s="100"/>
      <c r="I44" s="101"/>
      <c r="J44" s="102"/>
      <c r="K44" s="11"/>
      <c r="L44" s="58"/>
      <c r="M44" s="11"/>
      <c r="N44" s="11"/>
      <c r="O44" s="58"/>
      <c r="P44" s="11"/>
      <c r="Q44" s="59"/>
      <c r="R44" s="26"/>
      <c r="S44" s="11"/>
      <c r="T44" s="26"/>
      <c r="U44" s="26"/>
      <c r="V44" s="11"/>
      <c r="W44" s="26"/>
      <c r="X44" s="26"/>
      <c r="Y44" s="11"/>
      <c r="Z44" s="11"/>
      <c r="AA44" s="11"/>
      <c r="AB44" s="11"/>
      <c r="AC44" s="11"/>
    </row>
    <row r="45" spans="1:29" ht="15.75" customHeight="1" x14ac:dyDescent="0.25">
      <c r="A45" s="11"/>
      <c r="B45" s="21" t="s">
        <v>22</v>
      </c>
      <c r="C45" s="56">
        <v>0.51216413333333299</v>
      </c>
      <c r="D45" s="57"/>
      <c r="E45" s="21" t="s">
        <v>22</v>
      </c>
      <c r="F45" s="56">
        <v>4.5585399999999998E-2</v>
      </c>
      <c r="G45" s="57"/>
      <c r="H45" s="100"/>
      <c r="I45" s="101"/>
      <c r="J45" s="102"/>
      <c r="K45" s="11"/>
      <c r="L45" s="58"/>
      <c r="M45" s="11"/>
      <c r="N45" s="11"/>
      <c r="O45" s="58"/>
      <c r="P45" s="11"/>
      <c r="Q45" s="59"/>
      <c r="R45" s="26"/>
      <c r="S45" s="11"/>
      <c r="T45" s="26"/>
      <c r="U45" s="26"/>
      <c r="V45" s="11"/>
      <c r="W45" s="26"/>
      <c r="X45" s="26"/>
      <c r="Y45" s="11"/>
      <c r="Z45" s="11"/>
      <c r="AA45" s="11"/>
      <c r="AB45" s="11"/>
      <c r="AC45" s="11"/>
    </row>
    <row r="46" spans="1:29" ht="15.75" customHeight="1" x14ac:dyDescent="0.25">
      <c r="A46" s="60"/>
      <c r="B46" s="21" t="s">
        <v>23</v>
      </c>
      <c r="C46" s="56">
        <v>0.48788369999999998</v>
      </c>
      <c r="D46" s="57"/>
      <c r="E46" s="21" t="s">
        <v>23</v>
      </c>
      <c r="F46" s="56">
        <v>4.5516250000000001E-2</v>
      </c>
      <c r="G46" s="57"/>
      <c r="H46" s="100"/>
      <c r="I46" s="103"/>
      <c r="J46" s="102"/>
      <c r="K46" s="11"/>
      <c r="L46" s="58"/>
      <c r="M46" s="11"/>
      <c r="N46" s="11"/>
      <c r="O46" s="58"/>
      <c r="P46" s="11"/>
      <c r="Q46" s="59"/>
      <c r="R46" s="26"/>
      <c r="S46" s="11"/>
      <c r="T46" s="26"/>
      <c r="U46" s="26"/>
      <c r="V46" s="11"/>
      <c r="W46" s="26"/>
      <c r="X46" s="26"/>
      <c r="Y46" s="11"/>
      <c r="Z46" s="11"/>
      <c r="AA46" s="11"/>
      <c r="AB46" s="11"/>
      <c r="AC46" s="11"/>
    </row>
    <row r="47" spans="1:29" ht="15.75" customHeight="1" x14ac:dyDescent="0.25">
      <c r="A47" s="60"/>
      <c r="B47" s="25" t="s">
        <v>24</v>
      </c>
      <c r="C47" s="56">
        <v>0.39798235945945898</v>
      </c>
      <c r="D47" s="57"/>
      <c r="E47" s="25" t="s">
        <v>24</v>
      </c>
      <c r="F47" s="56">
        <v>3.7316849999999999E-2</v>
      </c>
      <c r="G47" s="57"/>
      <c r="H47" s="104"/>
      <c r="I47" s="103"/>
      <c r="J47" s="102"/>
      <c r="K47" s="11"/>
      <c r="L47" s="58"/>
      <c r="M47" s="11"/>
      <c r="N47" s="11"/>
      <c r="O47" s="58"/>
      <c r="P47" s="11"/>
      <c r="Q47" s="59"/>
      <c r="R47" s="26"/>
      <c r="S47" s="11"/>
      <c r="T47" s="26"/>
      <c r="U47" s="26"/>
      <c r="V47" s="11"/>
      <c r="W47" s="26"/>
      <c r="X47" s="26"/>
      <c r="Y47" s="11"/>
      <c r="Z47" s="11"/>
      <c r="AA47" s="11"/>
      <c r="AB47" s="11"/>
      <c r="AC47" s="11"/>
    </row>
    <row r="48" spans="1:29" ht="15.75" customHeight="1" x14ac:dyDescent="0.25">
      <c r="A48" s="60"/>
      <c r="B48" s="25" t="s">
        <v>25</v>
      </c>
      <c r="C48" s="56">
        <v>0.33635100000000001</v>
      </c>
      <c r="D48" s="57"/>
      <c r="E48" s="25" t="s">
        <v>25</v>
      </c>
      <c r="F48" s="56">
        <v>3.6322340000000002E-2</v>
      </c>
      <c r="G48" s="57"/>
      <c r="H48" s="104"/>
      <c r="I48" s="103"/>
      <c r="J48" s="102"/>
      <c r="K48" s="11"/>
      <c r="L48" s="58"/>
      <c r="M48" s="11"/>
      <c r="N48" s="11"/>
      <c r="O48" s="58"/>
      <c r="P48" s="11"/>
      <c r="Q48" s="59"/>
      <c r="R48" s="26"/>
      <c r="S48" s="11"/>
      <c r="T48" s="26"/>
      <c r="U48" s="26"/>
      <c r="V48" s="11"/>
      <c r="W48" s="26"/>
      <c r="X48" s="26"/>
      <c r="Y48" s="11"/>
      <c r="Z48" s="11"/>
      <c r="AA48" s="11"/>
      <c r="AB48" s="11"/>
      <c r="AC48" s="11"/>
    </row>
    <row r="49" spans="1:29" ht="15.75" customHeight="1" x14ac:dyDescent="0.25">
      <c r="A49" s="60"/>
      <c r="B49" s="25" t="s">
        <v>26</v>
      </c>
      <c r="C49" s="56">
        <v>0.33635100000000001</v>
      </c>
      <c r="D49" s="57"/>
      <c r="E49" s="25" t="s">
        <v>26</v>
      </c>
      <c r="F49" s="56">
        <v>3.6526740000000002E-2</v>
      </c>
      <c r="G49" s="57"/>
      <c r="H49" s="104"/>
      <c r="I49" s="103"/>
      <c r="J49" s="102"/>
      <c r="K49" s="11"/>
      <c r="L49" s="58"/>
      <c r="M49" s="11"/>
      <c r="N49" s="11"/>
      <c r="O49" s="58"/>
      <c r="P49" s="11"/>
      <c r="Q49" s="59"/>
      <c r="R49" s="26"/>
      <c r="S49" s="11"/>
      <c r="T49" s="26"/>
      <c r="U49" s="26"/>
      <c r="V49" s="11"/>
      <c r="W49" s="26"/>
      <c r="X49" s="26"/>
      <c r="Y49" s="11"/>
      <c r="Z49" s="11"/>
      <c r="AA49" s="11"/>
      <c r="AB49" s="11"/>
      <c r="AC49" s="11"/>
    </row>
    <row r="50" spans="1:29" ht="15.75" customHeight="1" x14ac:dyDescent="0.25">
      <c r="A50" s="60"/>
      <c r="B50" s="25" t="s">
        <v>27</v>
      </c>
      <c r="C50" s="56">
        <v>0.33635100000000001</v>
      </c>
      <c r="D50" s="57"/>
      <c r="E50" s="25" t="s">
        <v>27</v>
      </c>
      <c r="F50" s="56">
        <v>3.6731140000000002E-2</v>
      </c>
      <c r="G50" s="57"/>
      <c r="H50" s="104"/>
      <c r="I50" s="103"/>
      <c r="J50" s="102"/>
      <c r="K50" s="11"/>
      <c r="L50" s="58"/>
      <c r="M50" s="11"/>
      <c r="N50" s="11"/>
      <c r="O50" s="58"/>
      <c r="P50" s="11"/>
      <c r="Q50" s="59"/>
      <c r="R50" s="26"/>
      <c r="S50" s="11"/>
      <c r="T50" s="26"/>
      <c r="U50" s="26"/>
      <c r="V50" s="11"/>
      <c r="W50" s="26"/>
      <c r="X50" s="26"/>
      <c r="Y50" s="11"/>
      <c r="Z50" s="11"/>
      <c r="AA50" s="11"/>
      <c r="AB50" s="11"/>
      <c r="AC50" s="11"/>
    </row>
    <row r="51" spans="1:29" ht="15.75" customHeight="1" x14ac:dyDescent="0.25">
      <c r="A51" s="60"/>
      <c r="B51" s="25" t="s">
        <v>28</v>
      </c>
      <c r="C51" s="56">
        <v>0.33635100000000001</v>
      </c>
      <c r="D51" s="57"/>
      <c r="E51" s="25" t="s">
        <v>28</v>
      </c>
      <c r="F51" s="56">
        <v>3.748224E-2</v>
      </c>
      <c r="G51" s="57"/>
      <c r="H51" s="104"/>
      <c r="I51" s="103"/>
      <c r="J51" s="102"/>
      <c r="K51" s="11"/>
      <c r="L51" s="58"/>
      <c r="M51" s="11"/>
      <c r="N51" s="11"/>
      <c r="O51" s="58"/>
      <c r="P51" s="11"/>
      <c r="Q51" s="59"/>
      <c r="R51" s="26"/>
      <c r="S51" s="11"/>
      <c r="T51" s="26"/>
      <c r="U51" s="26"/>
      <c r="V51" s="11"/>
      <c r="W51" s="26"/>
      <c r="X51" s="26"/>
      <c r="Y51" s="11"/>
      <c r="Z51" s="11"/>
      <c r="AA51" s="11"/>
      <c r="AB51" s="11"/>
      <c r="AC51" s="11"/>
    </row>
    <row r="52" spans="1:29" ht="15.75" customHeight="1" x14ac:dyDescent="0.25">
      <c r="A52" s="60"/>
      <c r="B52" s="25" t="s">
        <v>29</v>
      </c>
      <c r="C52" s="56">
        <v>0.33635100000000001</v>
      </c>
      <c r="D52" s="57"/>
      <c r="E52" s="25" t="s">
        <v>29</v>
      </c>
      <c r="F52" s="56">
        <v>3.8233339999999998E-2</v>
      </c>
      <c r="G52" s="57"/>
      <c r="H52" s="104"/>
      <c r="I52" s="103"/>
      <c r="J52" s="102"/>
      <c r="K52" s="11"/>
      <c r="L52" s="58"/>
      <c r="M52" s="11"/>
      <c r="N52" s="11"/>
      <c r="O52" s="58"/>
      <c r="P52" s="11"/>
      <c r="Q52" s="59"/>
      <c r="R52" s="26"/>
      <c r="S52" s="11"/>
      <c r="T52" s="26"/>
      <c r="U52" s="26"/>
      <c r="V52" s="11"/>
      <c r="W52" s="26"/>
      <c r="X52" s="26"/>
      <c r="Y52" s="11"/>
      <c r="Z52" s="11"/>
      <c r="AA52" s="11"/>
      <c r="AB52" s="11"/>
      <c r="AC52" s="11"/>
    </row>
    <row r="53" spans="1:29" ht="15.75" customHeight="1" x14ac:dyDescent="0.25">
      <c r="A53" s="52"/>
      <c r="B53" s="25" t="s">
        <v>30</v>
      </c>
      <c r="C53" s="56">
        <v>0.33635100000000001</v>
      </c>
      <c r="D53" s="57"/>
      <c r="E53" s="25" t="s">
        <v>30</v>
      </c>
      <c r="F53" s="56">
        <v>3.9040726666666699E-2</v>
      </c>
      <c r="G53" s="57"/>
      <c r="H53" s="104"/>
      <c r="I53" s="103"/>
      <c r="J53" s="102"/>
      <c r="K53" s="11"/>
      <c r="L53" s="58"/>
      <c r="M53" s="11"/>
      <c r="N53" s="11"/>
      <c r="O53" s="58"/>
      <c r="P53" s="11"/>
      <c r="Q53" s="59"/>
      <c r="R53" s="26"/>
      <c r="S53" s="11"/>
      <c r="T53" s="26"/>
      <c r="U53" s="26"/>
      <c r="V53" s="11"/>
      <c r="W53" s="26"/>
      <c r="X53" s="26"/>
      <c r="Y53" s="11"/>
      <c r="Z53" s="11"/>
      <c r="AA53" s="11"/>
      <c r="AB53" s="11"/>
      <c r="AC53" s="11"/>
    </row>
    <row r="54" spans="1:29" ht="15.75" customHeight="1" x14ac:dyDescent="0.25">
      <c r="A54" s="52"/>
      <c r="B54" s="25" t="s">
        <v>31</v>
      </c>
      <c r="C54" s="56">
        <v>0.33635100000000001</v>
      </c>
      <c r="D54" s="57"/>
      <c r="E54" s="25" t="s">
        <v>31</v>
      </c>
      <c r="F54" s="56">
        <v>3.9848113333333303E-2</v>
      </c>
      <c r="G54" s="57"/>
      <c r="H54" s="104"/>
      <c r="I54" s="103"/>
      <c r="J54" s="102"/>
      <c r="K54" s="11"/>
      <c r="L54" s="58"/>
      <c r="M54" s="11"/>
      <c r="N54" s="11"/>
      <c r="O54" s="58"/>
      <c r="P54" s="11"/>
      <c r="Q54" s="59"/>
      <c r="R54" s="26"/>
      <c r="S54" s="11"/>
      <c r="T54" s="26"/>
      <c r="U54" s="26"/>
      <c r="V54" s="11"/>
      <c r="W54" s="26"/>
      <c r="X54" s="26"/>
      <c r="Y54" s="11"/>
      <c r="Z54" s="11"/>
      <c r="AA54" s="11"/>
      <c r="AB54" s="11"/>
      <c r="AC54" s="11"/>
    </row>
    <row r="55" spans="1:29" ht="15.75" customHeight="1" x14ac:dyDescent="0.25">
      <c r="A55" s="52"/>
      <c r="B55" s="25" t="s">
        <v>32</v>
      </c>
      <c r="C55" s="56">
        <v>0.33635100000000001</v>
      </c>
      <c r="D55" s="57"/>
      <c r="E55" s="25" t="s">
        <v>32</v>
      </c>
      <c r="F55" s="56">
        <v>4.0655499999999997E-2</v>
      </c>
      <c r="G55" s="57"/>
      <c r="H55" s="104"/>
      <c r="I55" s="103"/>
      <c r="J55" s="102"/>
      <c r="K55" s="11"/>
      <c r="L55" s="58"/>
      <c r="M55" s="11"/>
      <c r="N55" s="11"/>
      <c r="O55" s="58"/>
      <c r="P55" s="11"/>
      <c r="Q55" s="59"/>
      <c r="R55" s="26"/>
      <c r="S55" s="11"/>
      <c r="T55" s="26"/>
      <c r="U55" s="26"/>
      <c r="V55" s="11"/>
      <c r="W55" s="26"/>
      <c r="X55" s="26"/>
      <c r="Y55" s="11"/>
      <c r="Z55" s="11"/>
      <c r="AA55" s="11"/>
      <c r="AB55" s="11"/>
      <c r="AC55" s="11"/>
    </row>
    <row r="56" spans="1:29" ht="15.75" customHeight="1" x14ac:dyDescent="0.25">
      <c r="A56" s="61"/>
      <c r="B56" s="25" t="s">
        <v>33</v>
      </c>
      <c r="C56" s="56">
        <v>0.33635100000000001</v>
      </c>
      <c r="D56" s="57"/>
      <c r="E56" s="25" t="s">
        <v>33</v>
      </c>
      <c r="F56" s="56">
        <v>3.9928852000000001E-2</v>
      </c>
      <c r="G56" s="57"/>
      <c r="H56" s="104"/>
      <c r="I56" s="103"/>
      <c r="J56" s="102"/>
      <c r="K56" s="25"/>
      <c r="L56" s="58"/>
      <c r="M56" s="11"/>
      <c r="N56" s="11"/>
      <c r="O56" s="58"/>
      <c r="P56" s="11"/>
      <c r="Q56" s="59"/>
      <c r="R56" s="26"/>
      <c r="S56" s="11"/>
      <c r="T56" s="26"/>
      <c r="U56" s="26"/>
      <c r="V56" s="11"/>
      <c r="W56" s="26"/>
      <c r="X56" s="26"/>
      <c r="Y56" s="11"/>
      <c r="Z56" s="11"/>
      <c r="AA56" s="11"/>
      <c r="AB56" s="11"/>
      <c r="AC56" s="11"/>
    </row>
    <row r="57" spans="1:29" ht="15.75" customHeight="1" x14ac:dyDescent="0.25">
      <c r="A57" s="52"/>
      <c r="B57" s="25" t="s">
        <v>34</v>
      </c>
      <c r="C57" s="56">
        <v>0.33635100000000001</v>
      </c>
      <c r="D57" s="57"/>
      <c r="E57" s="25" t="s">
        <v>34</v>
      </c>
      <c r="F57" s="56">
        <v>3.9202203999999997E-2</v>
      </c>
      <c r="G57" s="57"/>
      <c r="H57" s="104"/>
      <c r="I57" s="103"/>
      <c r="J57" s="102"/>
      <c r="K57" s="25"/>
      <c r="L57" s="58"/>
      <c r="M57" s="11"/>
      <c r="N57" s="11"/>
      <c r="O57" s="58"/>
      <c r="P57" s="11"/>
      <c r="Q57" s="59"/>
      <c r="R57" s="26"/>
      <c r="S57" s="11"/>
      <c r="T57" s="26"/>
      <c r="U57" s="26"/>
      <c r="V57" s="11"/>
      <c r="W57" s="26"/>
      <c r="X57" s="26"/>
      <c r="Y57" s="11"/>
      <c r="Z57" s="11"/>
      <c r="AA57" s="11"/>
      <c r="AB57" s="11"/>
      <c r="AC57" s="11"/>
    </row>
    <row r="58" spans="1:29" ht="15.75" customHeight="1" x14ac:dyDescent="0.25">
      <c r="A58" s="52"/>
      <c r="B58" s="25" t="s">
        <v>35</v>
      </c>
      <c r="C58" s="56">
        <v>0.33635100000000001</v>
      </c>
      <c r="D58" s="57"/>
      <c r="E58" s="25" t="s">
        <v>35</v>
      </c>
      <c r="F58" s="56">
        <v>4.0761002666666699E-2</v>
      </c>
      <c r="G58" s="57"/>
      <c r="H58" s="104"/>
      <c r="I58" s="103"/>
      <c r="J58" s="102"/>
      <c r="K58" s="25"/>
      <c r="L58" s="58"/>
      <c r="M58" s="11"/>
      <c r="N58" s="11"/>
      <c r="O58" s="58"/>
      <c r="P58" s="11"/>
      <c r="Q58" s="59"/>
      <c r="R58" s="26"/>
      <c r="S58" s="11"/>
      <c r="T58" s="26"/>
      <c r="U58" s="26"/>
      <c r="V58" s="11"/>
      <c r="W58" s="26"/>
      <c r="X58" s="26"/>
      <c r="Y58" s="11"/>
      <c r="Z58" s="11"/>
      <c r="AA58" s="11"/>
      <c r="AB58" s="11"/>
      <c r="AC58" s="11"/>
    </row>
    <row r="59" spans="1:29" ht="15.75" customHeight="1" x14ac:dyDescent="0.25">
      <c r="A59" s="52"/>
      <c r="B59" s="25" t="s">
        <v>36</v>
      </c>
      <c r="C59" s="56">
        <v>0.33635100000000001</v>
      </c>
      <c r="D59" s="57"/>
      <c r="E59" s="25" t="s">
        <v>36</v>
      </c>
      <c r="F59" s="56">
        <v>4.2319801333333303E-2</v>
      </c>
      <c r="G59" s="57"/>
      <c r="H59" s="104"/>
      <c r="I59" s="103"/>
      <c r="J59" s="102"/>
      <c r="K59" s="25"/>
      <c r="L59" s="58"/>
      <c r="M59" s="11"/>
      <c r="N59" s="11"/>
      <c r="O59" s="58"/>
      <c r="P59" s="11"/>
      <c r="Q59" s="59"/>
      <c r="R59" s="26"/>
      <c r="S59" s="11"/>
      <c r="T59" s="26"/>
      <c r="U59" s="26"/>
      <c r="V59" s="11"/>
      <c r="W59" s="26"/>
      <c r="X59" s="26"/>
      <c r="Y59" s="11"/>
      <c r="Z59" s="11"/>
      <c r="AA59" s="11"/>
      <c r="AB59" s="11"/>
      <c r="AC59" s="11"/>
    </row>
    <row r="60" spans="1:29" ht="15.75" customHeight="1" x14ac:dyDescent="0.25">
      <c r="A60" s="52"/>
      <c r="B60" s="25" t="s">
        <v>37</v>
      </c>
      <c r="C60" s="56">
        <v>0.33635100000000001</v>
      </c>
      <c r="D60" s="57"/>
      <c r="E60" s="25" t="s">
        <v>37</v>
      </c>
      <c r="F60" s="56">
        <v>4.3878599999999997E-2</v>
      </c>
      <c r="G60" s="57"/>
      <c r="H60" s="104"/>
      <c r="I60" s="103"/>
      <c r="J60" s="102"/>
      <c r="K60" s="25"/>
      <c r="L60" s="58"/>
      <c r="M60" s="11"/>
      <c r="N60" s="11"/>
      <c r="O60" s="11"/>
      <c r="P60" s="11"/>
      <c r="Q60" s="26"/>
      <c r="R60" s="26"/>
      <c r="S60" s="11"/>
      <c r="T60" s="26"/>
      <c r="U60" s="26"/>
      <c r="V60" s="11"/>
      <c r="W60" s="26"/>
      <c r="X60" s="26"/>
      <c r="Y60" s="11"/>
      <c r="Z60" s="11"/>
      <c r="AA60" s="11"/>
      <c r="AB60" s="11"/>
      <c r="AC60" s="11"/>
    </row>
    <row r="61" spans="1:29" ht="15.75" customHeight="1" x14ac:dyDescent="0.25">
      <c r="A61" s="52"/>
      <c r="B61" s="25" t="s">
        <v>38</v>
      </c>
      <c r="C61" s="56">
        <v>0.33635100000000001</v>
      </c>
      <c r="D61" s="57"/>
      <c r="E61" s="25" t="s">
        <v>38</v>
      </c>
      <c r="F61" s="56">
        <v>4.4169024000000001E-2</v>
      </c>
      <c r="G61" s="57"/>
      <c r="H61" s="104"/>
      <c r="I61" s="103"/>
      <c r="J61" s="102"/>
      <c r="K61" s="25"/>
      <c r="L61" s="58"/>
      <c r="M61" s="11"/>
      <c r="N61" s="11"/>
      <c r="O61" s="11"/>
      <c r="P61" s="11"/>
      <c r="Q61" s="26"/>
      <c r="R61" s="26"/>
      <c r="S61" s="11"/>
      <c r="T61" s="26"/>
      <c r="U61" s="26"/>
      <c r="V61" s="11"/>
      <c r="W61" s="26"/>
      <c r="X61" s="26"/>
      <c r="Y61" s="11"/>
      <c r="Z61" s="11"/>
      <c r="AA61" s="11"/>
      <c r="AB61" s="11"/>
      <c r="AC61" s="11"/>
    </row>
    <row r="62" spans="1:29" ht="15.75" customHeight="1" x14ac:dyDescent="0.25">
      <c r="A62" s="11"/>
      <c r="B62" s="25" t="s">
        <v>39</v>
      </c>
      <c r="C62" s="56">
        <v>0.33635100000000001</v>
      </c>
      <c r="D62" s="57"/>
      <c r="E62" s="25" t="s">
        <v>39</v>
      </c>
      <c r="F62" s="56">
        <v>4.4459447999999999E-2</v>
      </c>
      <c r="G62" s="57"/>
      <c r="H62" s="104"/>
      <c r="I62" s="103"/>
      <c r="J62" s="102"/>
      <c r="K62" s="62"/>
      <c r="L62" s="58"/>
      <c r="M62" s="11"/>
      <c r="N62" s="11"/>
      <c r="O62" s="11"/>
      <c r="P62" s="11"/>
      <c r="Q62" s="26"/>
      <c r="R62" s="26"/>
      <c r="S62" s="11"/>
      <c r="T62" s="26"/>
      <c r="U62" s="26"/>
      <c r="V62" s="11"/>
      <c r="W62" s="26"/>
      <c r="X62" s="26"/>
      <c r="Y62" s="11"/>
      <c r="Z62" s="11"/>
      <c r="AA62" s="11"/>
      <c r="AB62" s="11"/>
      <c r="AC62" s="11"/>
    </row>
    <row r="63" spans="1:29" ht="15.75" customHeight="1" x14ac:dyDescent="0.25">
      <c r="A63" s="11"/>
      <c r="B63" s="25" t="s">
        <v>40</v>
      </c>
      <c r="C63" s="56">
        <v>0.33635100000000001</v>
      </c>
      <c r="D63" s="57"/>
      <c r="E63" s="25" t="s">
        <v>40</v>
      </c>
      <c r="F63" s="56">
        <v>4.4749872000000003E-2</v>
      </c>
      <c r="G63" s="57"/>
      <c r="H63" s="104"/>
      <c r="I63" s="103"/>
      <c r="J63" s="102"/>
      <c r="K63" s="62"/>
      <c r="L63" s="58"/>
      <c r="M63" s="11"/>
      <c r="N63" s="11"/>
      <c r="O63" s="11"/>
      <c r="P63" s="11"/>
      <c r="Q63" s="26"/>
      <c r="R63" s="26"/>
      <c r="S63" s="11"/>
      <c r="T63" s="26"/>
      <c r="U63" s="26"/>
      <c r="V63" s="11"/>
      <c r="W63" s="26"/>
      <c r="X63" s="26"/>
      <c r="Y63" s="11"/>
      <c r="Z63" s="11"/>
      <c r="AA63" s="11"/>
      <c r="AB63" s="11"/>
      <c r="AC63" s="11"/>
    </row>
    <row r="64" spans="1:29" ht="15.75" customHeight="1" x14ac:dyDescent="0.25">
      <c r="A64" s="11"/>
      <c r="B64" s="25" t="s">
        <v>41</v>
      </c>
      <c r="C64" s="56">
        <v>0.33635100000000001</v>
      </c>
      <c r="D64" s="57"/>
      <c r="E64" s="25" t="s">
        <v>41</v>
      </c>
      <c r="F64" s="56">
        <v>4.5040296E-2</v>
      </c>
      <c r="G64" s="57"/>
      <c r="H64" s="104"/>
      <c r="I64" s="103"/>
      <c r="J64" s="102"/>
      <c r="K64" s="62"/>
      <c r="L64" s="58"/>
      <c r="M64" s="11"/>
      <c r="N64" s="11"/>
      <c r="O64" s="11"/>
      <c r="P64" s="11"/>
      <c r="Q64" s="26"/>
      <c r="R64" s="26"/>
      <c r="S64" s="11"/>
      <c r="T64" s="26"/>
      <c r="U64" s="26"/>
      <c r="V64" s="11"/>
      <c r="W64" s="26"/>
      <c r="X64" s="26"/>
      <c r="Y64" s="11"/>
      <c r="Z64" s="11"/>
      <c r="AA64" s="11"/>
      <c r="AB64" s="11"/>
      <c r="AC64" s="11"/>
    </row>
    <row r="65" spans="1:29" ht="15.75" customHeight="1" x14ac:dyDescent="0.25">
      <c r="A65" s="11"/>
      <c r="B65" s="25" t="s">
        <v>42</v>
      </c>
      <c r="C65" s="56">
        <v>0.33635100000000001</v>
      </c>
      <c r="D65" s="57"/>
      <c r="E65" s="25" t="s">
        <v>42</v>
      </c>
      <c r="F65" s="56">
        <v>4.5330719999999998E-2</v>
      </c>
      <c r="G65" s="57"/>
      <c r="H65" s="104"/>
      <c r="I65" s="103"/>
      <c r="J65" s="10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5.75" customHeight="1" x14ac:dyDescent="0.25">
      <c r="A66" s="11"/>
      <c r="B66" s="25" t="s">
        <v>43</v>
      </c>
      <c r="C66" s="56">
        <v>0.33635100000000001</v>
      </c>
      <c r="D66" s="57"/>
      <c r="E66" s="25" t="s">
        <v>43</v>
      </c>
      <c r="F66" s="56">
        <v>4.5330719999999998E-2</v>
      </c>
      <c r="G66" s="57"/>
      <c r="H66" s="104"/>
      <c r="I66" s="103"/>
      <c r="J66" s="10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5.75" customHeight="1" x14ac:dyDescent="0.25">
      <c r="A67" s="11"/>
      <c r="B67" s="25" t="s">
        <v>44</v>
      </c>
      <c r="C67" s="56">
        <v>0.33635100000000001</v>
      </c>
      <c r="D67" s="57"/>
      <c r="E67" s="25" t="s">
        <v>44</v>
      </c>
      <c r="F67" s="56">
        <v>4.5330719999999998E-2</v>
      </c>
      <c r="G67" s="57"/>
      <c r="H67" s="104"/>
      <c r="I67" s="103"/>
      <c r="J67" s="10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5.75" customHeight="1" x14ac:dyDescent="0.25">
      <c r="A68" s="11"/>
      <c r="B68" s="25" t="s">
        <v>45</v>
      </c>
      <c r="C68" s="56">
        <v>0.33635100000000001</v>
      </c>
      <c r="D68" s="57"/>
      <c r="E68" s="25" t="s">
        <v>45</v>
      </c>
      <c r="F68" s="56">
        <v>4.5330719999999998E-2</v>
      </c>
      <c r="G68" s="57"/>
      <c r="H68" s="104"/>
      <c r="I68" s="103"/>
      <c r="J68" s="10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5.75" customHeight="1" x14ac:dyDescent="0.25">
      <c r="A69" s="11"/>
      <c r="B69" s="25" t="s">
        <v>46</v>
      </c>
      <c r="C69" s="56">
        <v>0.33635100000000001</v>
      </c>
      <c r="D69" s="57"/>
      <c r="E69" s="25" t="s">
        <v>46</v>
      </c>
      <c r="F69" s="56">
        <v>4.5330719999999998E-2</v>
      </c>
      <c r="G69" s="57"/>
      <c r="H69" s="104"/>
      <c r="I69" s="103"/>
      <c r="J69" s="10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5.75" customHeight="1" x14ac:dyDescent="0.25">
      <c r="A70" s="11"/>
      <c r="B70" s="25" t="s">
        <v>47</v>
      </c>
      <c r="C70" s="56">
        <v>0.33635100000000001</v>
      </c>
      <c r="D70" s="57"/>
      <c r="E70" s="25" t="s">
        <v>47</v>
      </c>
      <c r="F70" s="56">
        <v>4.5330719999999998E-2</v>
      </c>
      <c r="G70" s="57"/>
      <c r="H70" s="104"/>
      <c r="I70" s="103"/>
      <c r="J70" s="10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5.75" customHeight="1" x14ac:dyDescent="0.25">
      <c r="A71" s="11"/>
      <c r="B71" s="11"/>
      <c r="C71" s="11"/>
      <c r="D71" s="11"/>
      <c r="E71" s="11"/>
      <c r="F71" s="11"/>
      <c r="G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5.75" customHeight="1" x14ac:dyDescent="0.25">
      <c r="A120" s="11"/>
      <c r="B120" s="11"/>
      <c r="C120" s="11"/>
      <c r="D120" s="11"/>
      <c r="E120" s="11"/>
      <c r="F120" s="11"/>
      <c r="G120" s="11"/>
      <c r="H120" s="63"/>
      <c r="I120" s="63"/>
      <c r="J120" s="63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5.75" customHeight="1" x14ac:dyDescent="0.25">
      <c r="A121" s="11"/>
      <c r="B121" s="11"/>
      <c r="C121" s="11"/>
      <c r="D121" s="11"/>
      <c r="E121" s="11"/>
      <c r="F121" s="11"/>
      <c r="G121" s="11"/>
      <c r="H121" s="63"/>
      <c r="I121" s="63"/>
      <c r="J121" s="63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</row>
    <row r="123" spans="1:29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</row>
    <row r="124" spans="1:29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</row>
    <row r="125" spans="1:29" ht="15.75" customHeight="1" x14ac:dyDescent="0.25">
      <c r="A125" s="11"/>
      <c r="B125" s="11"/>
      <c r="C125" s="11"/>
      <c r="D125" s="11"/>
      <c r="E125" s="11"/>
      <c r="F125" s="63"/>
      <c r="G125" s="63"/>
      <c r="H125" s="11"/>
      <c r="I125" s="11"/>
      <c r="J125" s="11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</row>
    <row r="126" spans="1:29" ht="15.75" customHeight="1" x14ac:dyDescent="0.25">
      <c r="A126" s="11"/>
      <c r="B126" s="11"/>
      <c r="C126" s="11"/>
      <c r="D126" s="11"/>
      <c r="E126" s="11"/>
      <c r="F126" s="63"/>
      <c r="G126" s="63"/>
      <c r="H126" s="11"/>
      <c r="I126" s="11"/>
      <c r="J126" s="11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</row>
    <row r="127" spans="1:29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5.75" customHeight="1" x14ac:dyDescent="0.25">
      <c r="A136" s="11"/>
      <c r="B136" s="11"/>
      <c r="C136" s="11"/>
      <c r="D136" s="11"/>
      <c r="E136" s="11"/>
      <c r="F136" s="11"/>
      <c r="G136" s="11"/>
      <c r="H136" s="64"/>
      <c r="I136" s="64"/>
      <c r="J136" s="64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5.75" customHeight="1" x14ac:dyDescent="0.25">
      <c r="A138" s="11"/>
      <c r="B138" s="11"/>
      <c r="C138" s="11"/>
      <c r="D138" s="11"/>
      <c r="E138" s="11"/>
      <c r="F138" s="64"/>
      <c r="G138" s="64"/>
      <c r="H138" s="11"/>
      <c r="I138" s="11"/>
      <c r="J138" s="11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</row>
    <row r="139" spans="1:29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spans="1:29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spans="1:29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5.75" customHeight="1" x14ac:dyDescent="0.25">
      <c r="A146" s="11"/>
      <c r="B146" s="11"/>
      <c r="C146" s="11"/>
      <c r="D146" s="11"/>
      <c r="E146" s="11"/>
      <c r="F146" s="11"/>
      <c r="G146" s="11"/>
      <c r="H146" s="65"/>
      <c r="I146" s="65"/>
      <c r="J146" s="65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5.75" customHeight="1" x14ac:dyDescent="0.25">
      <c r="A147" s="11"/>
      <c r="B147" s="11"/>
      <c r="C147" s="11"/>
      <c r="D147" s="11"/>
      <c r="E147" s="11"/>
      <c r="F147" s="11"/>
      <c r="G147" s="11"/>
      <c r="H147" s="65"/>
      <c r="I147" s="65"/>
      <c r="J147" s="65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5.75" customHeight="1" x14ac:dyDescent="0.25">
      <c r="A148" s="11"/>
      <c r="B148" s="11"/>
      <c r="C148" s="11"/>
      <c r="D148" s="11"/>
      <c r="E148" s="11"/>
      <c r="F148" s="64"/>
      <c r="G148" s="65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</row>
    <row r="149" spans="1:29" ht="15.75" customHeight="1" x14ac:dyDescent="0.25">
      <c r="A149" s="11"/>
      <c r="B149" s="11"/>
      <c r="C149" s="11"/>
      <c r="D149" s="11"/>
      <c r="E149" s="11"/>
      <c r="F149" s="64"/>
      <c r="G149" s="65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</row>
    <row r="150" spans="1:29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</row>
    <row r="151" spans="1:29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</row>
    <row r="152" spans="1:29" ht="15.75" customHeight="1" x14ac:dyDescent="0.25">
      <c r="A152" s="11"/>
      <c r="B152" s="11"/>
      <c r="C152" s="11"/>
      <c r="D152" s="11"/>
      <c r="E152" s="11"/>
      <c r="F152" s="64"/>
      <c r="G152" s="64"/>
      <c r="H152" s="11"/>
      <c r="I152" s="11"/>
      <c r="J152" s="11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</row>
    <row r="153" spans="1:29" ht="15.75" customHeight="1" x14ac:dyDescent="0.25">
      <c r="A153" s="11"/>
      <c r="B153" s="11"/>
      <c r="C153" s="11"/>
      <c r="D153" s="11"/>
      <c r="E153" s="11"/>
      <c r="F153" s="64"/>
      <c r="G153" s="64"/>
      <c r="H153" s="11"/>
      <c r="I153" s="11"/>
      <c r="J153" s="11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</row>
    <row r="154" spans="1:29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5.75" customHeight="1" x14ac:dyDescent="0.25">
      <c r="A260" s="11"/>
      <c r="B260" s="11"/>
      <c r="C260" s="11"/>
      <c r="D260" s="11"/>
      <c r="E260" s="11"/>
      <c r="F260" s="11"/>
      <c r="G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5.75" customHeight="1" x14ac:dyDescent="0.25">
      <c r="A261" s="11"/>
      <c r="B261" s="11"/>
      <c r="C261" s="11"/>
      <c r="D261" s="11"/>
      <c r="E261" s="11"/>
      <c r="F261" s="11"/>
      <c r="G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22:F22">
    <cfRule type="cellIs" dxfId="26" priority="1" operator="equal">
      <formula>"TRUE"</formula>
    </cfRule>
  </conditionalFormatting>
  <conditionalFormatting sqref="C9:H9">
    <cfRule type="cellIs" dxfId="25" priority="2" operator="equal">
      <formula>"TRUE"</formula>
    </cfRule>
  </conditionalFormatting>
  <conditionalFormatting sqref="G21:H21 J21:O21">
    <cfRule type="cellIs" dxfId="24" priority="3" operator="equal">
      <formula>"TRUE"</formula>
    </cfRule>
  </conditionalFormatting>
  <conditionalFormatting sqref="K9:O9">
    <cfRule type="cellIs" dxfId="23" priority="4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1000"/>
  <sheetViews>
    <sheetView showGridLines="0" topLeftCell="A37" workbookViewId="0">
      <selection activeCell="B42" sqref="B42"/>
    </sheetView>
  </sheetViews>
  <sheetFormatPr baseColWidth="10" defaultColWidth="12.6328125" defaultRowHeight="15" customHeight="1" x14ac:dyDescent="0.25"/>
  <cols>
    <col min="1" max="1" width="32.453125" customWidth="1"/>
    <col min="2" max="2" width="15.81640625" customWidth="1"/>
    <col min="3" max="3" width="10.90625" customWidth="1"/>
    <col min="4" max="4" width="9.90625" customWidth="1"/>
    <col min="5" max="5" width="10.453125" customWidth="1"/>
    <col min="6" max="6" width="10.90625" customWidth="1"/>
    <col min="7" max="7" width="7.08984375" customWidth="1"/>
    <col min="8" max="8" width="10.453125" customWidth="1"/>
    <col min="9" max="9" width="10.90625" customWidth="1"/>
    <col min="10" max="10" width="25" customWidth="1"/>
    <col min="11" max="14" width="9.90625" customWidth="1"/>
    <col min="15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30" width="23.08984375" customWidth="1"/>
  </cols>
  <sheetData>
    <row r="1" spans="1:30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  <c r="AD5" s="11"/>
    </row>
    <row r="6" spans="1:30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  <c r="AD6" s="11"/>
    </row>
    <row r="7" spans="1:30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" x14ac:dyDescent="0.25">
      <c r="A8" s="27"/>
      <c r="B8" s="28"/>
      <c r="C8" s="29"/>
      <c r="D8" s="29"/>
      <c r="E8" s="29"/>
      <c r="F8" s="29"/>
      <c r="G8" s="30"/>
      <c r="H8" s="30"/>
      <c r="I8" s="31"/>
      <c r="J8" s="28"/>
      <c r="K8" s="29"/>
      <c r="L8" s="29"/>
      <c r="M8" s="29"/>
      <c r="N8" s="29"/>
      <c r="O8" s="30"/>
      <c r="P8" s="30"/>
      <c r="Q8" s="30"/>
      <c r="R8" s="30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  <c r="AD8" s="32"/>
    </row>
    <row r="9" spans="1:30" ht="14" x14ac:dyDescent="0.3">
      <c r="A9" s="33"/>
      <c r="B9" s="34"/>
      <c r="C9" s="35"/>
      <c r="D9" s="35"/>
      <c r="E9" s="35"/>
      <c r="F9" s="35"/>
      <c r="G9" s="35"/>
      <c r="H9" s="35"/>
      <c r="I9" s="31"/>
      <c r="J9" s="34"/>
      <c r="K9" s="67"/>
      <c r="L9" s="35"/>
      <c r="M9" s="35"/>
      <c r="N9" s="35"/>
      <c r="O9" s="36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  <c r="AD9" s="38"/>
    </row>
    <row r="10" spans="1:30" ht="14" x14ac:dyDescent="0.25">
      <c r="A10" s="33"/>
      <c r="B10" s="31"/>
      <c r="C10" s="36"/>
      <c r="D10" s="36"/>
      <c r="E10" s="36"/>
      <c r="F10" s="36"/>
      <c r="G10" s="36"/>
      <c r="H10" s="36"/>
      <c r="I10" s="31"/>
      <c r="J10" s="31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  <c r="AD10" s="38"/>
    </row>
    <row r="11" spans="1:30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  <c r="AD11" s="38"/>
    </row>
    <row r="12" spans="1:30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  <c r="AD12" s="38"/>
    </row>
    <row r="13" spans="1:30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  <c r="AD13" s="38"/>
    </row>
    <row r="14" spans="1:30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  <c r="AD14" s="38"/>
    </row>
    <row r="15" spans="1:30" ht="14" x14ac:dyDescent="0.25">
      <c r="A15" s="33"/>
      <c r="B15" s="31"/>
      <c r="C15" s="36"/>
      <c r="D15" s="36"/>
      <c r="E15" s="36"/>
      <c r="F15" s="36"/>
      <c r="G15" s="39"/>
      <c r="H15" s="39"/>
      <c r="I15" s="31"/>
      <c r="J15" s="31"/>
      <c r="K15" s="36"/>
      <c r="L15" s="36"/>
      <c r="M15" s="36"/>
      <c r="N15" s="36"/>
      <c r="O15" s="39"/>
      <c r="P15" s="39"/>
      <c r="Q15" s="39"/>
      <c r="R15" s="39"/>
      <c r="S15" s="39"/>
      <c r="T15" s="39"/>
      <c r="U15" s="39"/>
      <c r="V15" s="39"/>
      <c r="W15" s="39"/>
      <c r="X15" s="40"/>
      <c r="Y15" s="40"/>
      <c r="Z15" s="40"/>
      <c r="AA15" s="40"/>
      <c r="AB15" s="40"/>
      <c r="AC15" s="40"/>
      <c r="AD15" s="40"/>
    </row>
    <row r="16" spans="1:30" ht="14" x14ac:dyDescent="0.25">
      <c r="A16" s="33"/>
      <c r="B16" s="31"/>
      <c r="C16" s="36"/>
      <c r="D16" s="36"/>
      <c r="E16" s="36"/>
      <c r="F16" s="36"/>
      <c r="G16" s="30"/>
      <c r="H16" s="30"/>
      <c r="I16" s="31"/>
      <c r="J16" s="31"/>
      <c r="K16" s="36"/>
      <c r="L16" s="36"/>
      <c r="M16" s="36"/>
      <c r="N16" s="36"/>
      <c r="O16" s="30"/>
      <c r="P16" s="30"/>
      <c r="Q16" s="30"/>
      <c r="R16" s="30"/>
      <c r="S16" s="30"/>
      <c r="T16" s="30"/>
      <c r="U16" s="30"/>
      <c r="V16" s="30"/>
      <c r="W16" s="30"/>
      <c r="X16" s="32"/>
      <c r="Y16" s="32"/>
      <c r="Z16" s="32"/>
      <c r="AA16" s="32"/>
      <c r="AB16" s="32"/>
      <c r="AC16" s="32"/>
      <c r="AD16" s="32"/>
    </row>
    <row r="17" spans="1:30" ht="14" x14ac:dyDescent="0.25">
      <c r="A17" s="41"/>
      <c r="B17" s="31"/>
      <c r="C17" s="36"/>
      <c r="D17" s="36"/>
      <c r="E17" s="36"/>
      <c r="F17" s="36"/>
      <c r="G17" s="36"/>
      <c r="H17" s="36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0"/>
      <c r="Y17" s="40"/>
      <c r="Z17" s="40"/>
      <c r="AA17" s="40"/>
      <c r="AB17" s="40"/>
      <c r="AC17" s="40"/>
      <c r="AD17" s="40"/>
    </row>
    <row r="18" spans="1:30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0"/>
      <c r="Y18" s="40"/>
      <c r="Z18" s="40"/>
      <c r="AA18" s="40"/>
      <c r="AB18" s="40"/>
      <c r="AC18" s="40"/>
      <c r="AD18" s="40"/>
    </row>
    <row r="19" spans="1:30" ht="14" x14ac:dyDescent="0.25">
      <c r="A19" s="40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0"/>
      <c r="Y19" s="40"/>
      <c r="Z19" s="40"/>
      <c r="AA19" s="40"/>
      <c r="AB19" s="40"/>
      <c r="AC19" s="40"/>
      <c r="AD19" s="40"/>
    </row>
    <row r="20" spans="1:30" ht="14" x14ac:dyDescent="0.25">
      <c r="A20" s="40"/>
      <c r="B20" s="31"/>
      <c r="C20" s="31"/>
      <c r="D20" s="31"/>
      <c r="E20" s="31"/>
      <c r="F20" s="31"/>
      <c r="G20" s="36"/>
      <c r="H20" s="36"/>
      <c r="I20" s="31"/>
      <c r="J20" s="31"/>
      <c r="K20" s="36"/>
      <c r="L20" s="36"/>
      <c r="M20" s="36"/>
      <c r="N20" s="36"/>
      <c r="O20" s="42"/>
      <c r="P20" s="42"/>
      <c r="Q20" s="42"/>
      <c r="R20" s="42"/>
      <c r="S20" s="42"/>
      <c r="T20" s="42"/>
      <c r="U20" s="42"/>
      <c r="V20" s="42"/>
      <c r="W20" s="42"/>
      <c r="X20" s="40"/>
      <c r="Y20" s="40"/>
      <c r="Z20" s="40"/>
      <c r="AA20" s="40"/>
      <c r="AB20" s="40"/>
      <c r="AC20" s="40"/>
      <c r="AD20" s="40"/>
    </row>
    <row r="21" spans="1:30" ht="15.75" customHeight="1" x14ac:dyDescent="0.3">
      <c r="A21" s="40"/>
      <c r="B21" s="31"/>
      <c r="C21" s="29"/>
      <c r="D21" s="29"/>
      <c r="E21" s="29"/>
      <c r="F21" s="29"/>
      <c r="G21" s="35"/>
      <c r="H21" s="35"/>
      <c r="I21" s="31"/>
      <c r="J21" s="31"/>
      <c r="K21" s="36"/>
      <c r="L21" s="36"/>
      <c r="M21" s="36"/>
      <c r="N21" s="36"/>
      <c r="O21" s="42"/>
      <c r="P21" s="42"/>
      <c r="Q21" s="42"/>
      <c r="R21" s="42"/>
      <c r="S21" s="42"/>
      <c r="T21" s="42"/>
      <c r="U21" s="42"/>
      <c r="V21" s="42"/>
      <c r="W21" s="42"/>
      <c r="X21" s="40"/>
      <c r="Y21" s="40"/>
      <c r="Z21" s="40"/>
      <c r="AA21" s="40"/>
      <c r="AB21" s="40"/>
      <c r="AC21" s="40"/>
      <c r="AD21" s="40"/>
    </row>
    <row r="22" spans="1:30" ht="15.75" customHeight="1" x14ac:dyDescent="0.3">
      <c r="A22" s="40"/>
      <c r="B22" s="31"/>
      <c r="C22" s="29"/>
      <c r="D22" s="29"/>
      <c r="E22" s="29"/>
      <c r="F22" s="29"/>
      <c r="G22" s="35"/>
      <c r="H22" s="35"/>
      <c r="I22" s="31"/>
      <c r="J22" s="31"/>
      <c r="K22" s="36"/>
      <c r="L22" s="36"/>
      <c r="M22" s="36"/>
      <c r="N22" s="36"/>
      <c r="O22" s="42"/>
      <c r="P22" s="42"/>
      <c r="Q22" s="42"/>
      <c r="R22" s="42"/>
      <c r="S22" s="42"/>
      <c r="T22" s="42"/>
      <c r="U22" s="42"/>
      <c r="V22" s="42"/>
      <c r="W22" s="42"/>
      <c r="X22" s="40"/>
      <c r="Y22" s="40"/>
      <c r="Z22" s="40"/>
      <c r="AA22" s="40"/>
      <c r="AB22" s="40"/>
      <c r="AC22" s="40"/>
      <c r="AD22" s="40"/>
    </row>
    <row r="23" spans="1:30" ht="15.75" customHeight="1" x14ac:dyDescent="0.3">
      <c r="A23" s="40"/>
      <c r="B23" s="31"/>
      <c r="C23" s="29"/>
      <c r="D23" s="29"/>
      <c r="E23" s="29"/>
      <c r="F23" s="29"/>
      <c r="G23" s="35"/>
      <c r="H23" s="35"/>
      <c r="I23" s="31"/>
      <c r="J23" s="31"/>
      <c r="K23" s="36"/>
      <c r="L23" s="36"/>
      <c r="M23" s="36"/>
      <c r="N23" s="36"/>
      <c r="O23" s="42"/>
      <c r="P23" s="42"/>
      <c r="Q23" s="42"/>
      <c r="R23" s="42"/>
      <c r="S23" s="42"/>
      <c r="T23" s="42"/>
      <c r="U23" s="42"/>
      <c r="V23" s="42"/>
      <c r="W23" s="42"/>
      <c r="X23" s="40"/>
      <c r="Y23" s="40"/>
      <c r="Z23" s="40"/>
      <c r="AA23" s="40"/>
      <c r="AB23" s="40"/>
      <c r="AC23" s="40"/>
      <c r="AD23" s="40"/>
    </row>
    <row r="24" spans="1:30" ht="15.75" customHeight="1" x14ac:dyDescent="0.3">
      <c r="A24" s="40"/>
      <c r="B24" s="31"/>
      <c r="C24" s="29"/>
      <c r="D24" s="29"/>
      <c r="E24" s="29"/>
      <c r="F24" s="29"/>
      <c r="G24" s="35"/>
      <c r="H24" s="35"/>
      <c r="I24" s="31"/>
      <c r="J24" s="31"/>
      <c r="K24" s="36"/>
      <c r="L24" s="36"/>
      <c r="M24" s="36"/>
      <c r="N24" s="36"/>
      <c r="O24" s="42"/>
      <c r="P24" s="42"/>
      <c r="Q24" s="42"/>
      <c r="R24" s="42"/>
      <c r="S24" s="42"/>
      <c r="T24" s="42"/>
      <c r="U24" s="42"/>
      <c r="V24" s="42"/>
      <c r="W24" s="42"/>
      <c r="X24" s="40"/>
      <c r="Y24" s="40"/>
      <c r="Z24" s="40"/>
      <c r="AA24" s="40"/>
      <c r="AB24" s="40"/>
      <c r="AC24" s="40"/>
      <c r="AD24" s="40"/>
    </row>
    <row r="25" spans="1:30" ht="15.75" customHeight="1" x14ac:dyDescent="0.3">
      <c r="A25" s="40"/>
      <c r="B25" s="31"/>
      <c r="C25" s="29"/>
      <c r="D25" s="29"/>
      <c r="E25" s="29"/>
      <c r="F25" s="29"/>
      <c r="G25" s="35"/>
      <c r="H25" s="35"/>
      <c r="I25" s="31"/>
      <c r="J25" s="31"/>
      <c r="K25" s="36"/>
      <c r="L25" s="36"/>
      <c r="M25" s="36"/>
      <c r="N25" s="36"/>
      <c r="O25" s="42"/>
      <c r="P25" s="42"/>
      <c r="Q25" s="42"/>
      <c r="R25" s="42"/>
      <c r="S25" s="42"/>
      <c r="T25" s="42"/>
      <c r="U25" s="42"/>
      <c r="V25" s="42"/>
      <c r="W25" s="42"/>
      <c r="X25" s="40"/>
      <c r="Y25" s="40"/>
      <c r="Z25" s="40"/>
      <c r="AA25" s="40"/>
      <c r="AB25" s="40"/>
      <c r="AC25" s="40"/>
      <c r="AD25" s="40"/>
    </row>
    <row r="26" spans="1:30" ht="15.75" customHeight="1" x14ac:dyDescent="0.3">
      <c r="A26" s="40"/>
      <c r="B26" s="31"/>
      <c r="C26" s="29"/>
      <c r="D26" s="29"/>
      <c r="E26" s="29"/>
      <c r="F26" s="29"/>
      <c r="G26" s="35"/>
      <c r="H26" s="35"/>
      <c r="I26" s="31"/>
      <c r="J26" s="31"/>
      <c r="K26" s="36"/>
      <c r="L26" s="36"/>
      <c r="M26" s="36"/>
      <c r="N26" s="36"/>
      <c r="O26" s="42"/>
      <c r="P26" s="42"/>
      <c r="Q26" s="42"/>
      <c r="R26" s="42"/>
      <c r="S26" s="42"/>
      <c r="T26" s="42"/>
      <c r="U26" s="42"/>
      <c r="V26" s="42"/>
      <c r="W26" s="42"/>
      <c r="X26" s="40"/>
      <c r="Y26" s="40"/>
      <c r="Z26" s="40"/>
      <c r="AA26" s="40"/>
      <c r="AB26" s="40"/>
      <c r="AC26" s="40"/>
      <c r="AD26" s="40"/>
    </row>
    <row r="27" spans="1:30" ht="15.75" customHeight="1" x14ac:dyDescent="0.3">
      <c r="A27" s="40"/>
      <c r="B27" s="31"/>
      <c r="C27" s="29"/>
      <c r="D27" s="29"/>
      <c r="E27" s="29"/>
      <c r="F27" s="29"/>
      <c r="G27" s="35"/>
      <c r="H27" s="35"/>
      <c r="I27" s="31"/>
      <c r="J27" s="31"/>
      <c r="K27" s="36"/>
      <c r="L27" s="36"/>
      <c r="M27" s="36"/>
      <c r="N27" s="36"/>
      <c r="O27" s="42"/>
      <c r="P27" s="42"/>
      <c r="Q27" s="42"/>
      <c r="R27" s="42"/>
      <c r="S27" s="42"/>
      <c r="T27" s="42"/>
      <c r="U27" s="42"/>
      <c r="V27" s="42"/>
      <c r="W27" s="42"/>
      <c r="X27" s="40"/>
      <c r="Y27" s="40"/>
      <c r="Z27" s="40"/>
      <c r="AA27" s="40"/>
      <c r="AB27" s="40"/>
      <c r="AC27" s="40"/>
      <c r="AD27" s="40"/>
    </row>
    <row r="28" spans="1:30" ht="15.75" customHeight="1" x14ac:dyDescent="0.3">
      <c r="A28" s="40"/>
      <c r="B28" s="34"/>
      <c r="C28" s="35"/>
      <c r="D28" s="35"/>
      <c r="E28" s="35"/>
      <c r="F28" s="35"/>
      <c r="G28" s="42"/>
      <c r="H28" s="42"/>
      <c r="I28" s="31"/>
      <c r="J28" s="31"/>
      <c r="K28" s="36"/>
      <c r="L28" s="36"/>
      <c r="M28" s="36"/>
      <c r="N28" s="36"/>
      <c r="O28" s="42"/>
      <c r="P28" s="42"/>
      <c r="Q28" s="42"/>
      <c r="R28" s="42"/>
      <c r="S28" s="42"/>
      <c r="T28" s="42"/>
      <c r="U28" s="42"/>
      <c r="V28" s="42"/>
      <c r="W28" s="42"/>
      <c r="X28" s="40"/>
      <c r="Y28" s="40"/>
      <c r="Z28" s="40"/>
      <c r="AA28" s="40"/>
      <c r="AB28" s="40"/>
      <c r="AC28" s="40"/>
      <c r="AD28" s="40"/>
    </row>
    <row r="29" spans="1:30" ht="15.75" customHeight="1" x14ac:dyDescent="0.25">
      <c r="A29" s="40"/>
      <c r="B29" s="31"/>
      <c r="C29" s="42"/>
      <c r="D29" s="42"/>
      <c r="E29" s="42"/>
      <c r="F29" s="42"/>
      <c r="G29" s="42"/>
      <c r="H29" s="42"/>
      <c r="I29" s="31"/>
      <c r="J29" s="31"/>
      <c r="K29" s="36"/>
      <c r="L29" s="36"/>
      <c r="M29" s="36"/>
      <c r="N29" s="3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0"/>
      <c r="AB29" s="40"/>
      <c r="AC29" s="40"/>
      <c r="AD29" s="40"/>
    </row>
    <row r="30" spans="1:30" ht="15.75" customHeight="1" x14ac:dyDescent="0.25">
      <c r="A30" s="40"/>
      <c r="B30" s="31"/>
      <c r="C30" s="42"/>
      <c r="D30" s="42"/>
      <c r="E30" s="42"/>
      <c r="F30" s="42"/>
      <c r="G30" s="43"/>
      <c r="H30" s="43"/>
      <c r="I30" s="43"/>
      <c r="J30" s="43"/>
      <c r="K30" s="43"/>
      <c r="L30" s="43"/>
      <c r="M30" s="43"/>
      <c r="N30" s="43"/>
      <c r="O30" s="30"/>
      <c r="P30" s="30"/>
      <c r="Q30" s="30"/>
      <c r="R30" s="30"/>
      <c r="S30" s="30"/>
      <c r="T30" s="30"/>
      <c r="U30" s="30"/>
      <c r="V30" s="30"/>
      <c r="W30" s="30"/>
      <c r="X30" s="43"/>
      <c r="Y30" s="43"/>
      <c r="Z30" s="43"/>
      <c r="AA30" s="40"/>
      <c r="AB30" s="40"/>
      <c r="AC30" s="40"/>
      <c r="AD30" s="40"/>
    </row>
    <row r="31" spans="1:30" ht="15.75" customHeight="1" x14ac:dyDescent="0.25">
      <c r="A31" s="40"/>
      <c r="B31" s="31"/>
      <c r="C31" s="42"/>
      <c r="D31" s="42"/>
      <c r="E31" s="42"/>
      <c r="F31" s="42"/>
      <c r="G31" s="43"/>
      <c r="H31" s="43"/>
      <c r="I31" s="43"/>
      <c r="J31" s="43"/>
      <c r="K31" s="43"/>
      <c r="L31" s="43"/>
      <c r="M31" s="43"/>
      <c r="N31" s="43"/>
      <c r="O31" s="42"/>
      <c r="P31" s="42"/>
      <c r="Q31" s="42"/>
      <c r="R31" s="42"/>
      <c r="S31" s="42"/>
      <c r="T31" s="42"/>
      <c r="U31" s="42"/>
      <c r="V31" s="42"/>
      <c r="W31" s="42"/>
      <c r="X31" s="43"/>
      <c r="Y31" s="43"/>
      <c r="Z31" s="43"/>
      <c r="AA31" s="40"/>
      <c r="AB31" s="40"/>
      <c r="AC31" s="40"/>
      <c r="AD31" s="40"/>
    </row>
    <row r="32" spans="1:30" ht="15.75" customHeight="1" x14ac:dyDescent="0.25">
      <c r="A32" s="40"/>
      <c r="B32" s="29"/>
      <c r="C32" s="36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3"/>
      <c r="Y32" s="43"/>
      <c r="Z32" s="43"/>
      <c r="AA32" s="40"/>
      <c r="AB32" s="40"/>
      <c r="AC32" s="40"/>
      <c r="AD32" s="40"/>
    </row>
    <row r="33" spans="1:30" ht="15.75" customHeight="1" x14ac:dyDescent="0.25">
      <c r="A33" s="40"/>
      <c r="B33" s="2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43"/>
      <c r="Y33" s="43"/>
      <c r="Z33" s="43"/>
      <c r="AA33" s="40"/>
      <c r="AB33" s="40"/>
      <c r="AC33" s="40"/>
      <c r="AD33" s="40"/>
    </row>
    <row r="34" spans="1:30" ht="15.75" customHeight="1" x14ac:dyDescent="0.25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9"/>
      <c r="Y34" s="49"/>
      <c r="Z34" s="49"/>
      <c r="AA34" s="45"/>
      <c r="AB34" s="45"/>
      <c r="AC34" s="45"/>
      <c r="AD34" s="45"/>
    </row>
    <row r="35" spans="1:30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  <c r="AD35" s="45"/>
    </row>
    <row r="36" spans="1:30" ht="15.75" customHeight="1" x14ac:dyDescent="0.25">
      <c r="A36" s="45"/>
      <c r="B36" s="50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1"/>
      <c r="Y36" s="51"/>
      <c r="Z36" s="51"/>
      <c r="AA36" s="51"/>
      <c r="AB36" s="51"/>
      <c r="AC36" s="51"/>
      <c r="AD36" s="51"/>
    </row>
    <row r="37" spans="1:30" ht="15.75" customHeight="1" x14ac:dyDescent="0.25">
      <c r="A37" s="1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1"/>
      <c r="AB37" s="11"/>
      <c r="AC37" s="11"/>
      <c r="AD37" s="11"/>
    </row>
    <row r="38" spans="1:30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  <c r="AD38" s="11"/>
    </row>
    <row r="39" spans="1:30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  <c r="AD39" s="11"/>
    </row>
    <row r="40" spans="1:30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s="109" customFormat="1" ht="15.75" customHeight="1" x14ac:dyDescent="0.25">
      <c r="A42" s="11"/>
      <c r="B42" s="53" t="s">
        <v>66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99"/>
      <c r="L42" s="108"/>
      <c r="M42" s="99"/>
      <c r="N42" s="99"/>
      <c r="O42" s="108"/>
      <c r="P42" s="99"/>
      <c r="Q42" s="99"/>
      <c r="R42" s="108"/>
      <c r="S42" s="99"/>
      <c r="T42" s="99"/>
      <c r="U42" s="108"/>
      <c r="V42" s="99"/>
      <c r="W42" s="99"/>
      <c r="X42" s="108"/>
      <c r="Y42" s="99"/>
      <c r="Z42" s="99"/>
      <c r="AA42" s="99"/>
      <c r="AB42" s="99"/>
      <c r="AC42" s="99"/>
      <c r="AD42" s="99"/>
    </row>
    <row r="43" spans="1:30" s="109" customFormat="1" ht="15.75" customHeight="1" x14ac:dyDescent="0.25">
      <c r="A43" s="11"/>
      <c r="B43" s="21" t="s">
        <v>20</v>
      </c>
      <c r="C43" s="56">
        <f>Base!C43+(D43/10000)</f>
        <v>0.56035080000000004</v>
      </c>
      <c r="D43" s="68">
        <v>100</v>
      </c>
      <c r="E43" s="21" t="s">
        <v>20</v>
      </c>
      <c r="F43" s="56">
        <f>Base!F43+(G43/10000)</f>
        <v>5.5717040000000002E-2</v>
      </c>
      <c r="G43" s="68">
        <v>100</v>
      </c>
      <c r="H43" s="100"/>
      <c r="I43" s="110"/>
      <c r="J43" s="111"/>
      <c r="K43" s="99"/>
      <c r="L43" s="112"/>
      <c r="M43" s="99"/>
      <c r="N43" s="99"/>
      <c r="O43" s="112"/>
      <c r="P43" s="99"/>
      <c r="Q43" s="113"/>
      <c r="R43" s="114"/>
      <c r="S43" s="99"/>
      <c r="T43" s="114"/>
      <c r="U43" s="114"/>
      <c r="V43" s="99"/>
      <c r="W43" s="114"/>
      <c r="X43" s="114"/>
      <c r="Y43" s="99"/>
      <c r="Z43" s="99"/>
      <c r="AA43" s="99"/>
      <c r="AB43" s="99"/>
      <c r="AC43" s="99"/>
      <c r="AD43" s="99"/>
    </row>
    <row r="44" spans="1:30" s="109" customFormat="1" ht="15.75" customHeight="1" x14ac:dyDescent="0.25">
      <c r="A44" s="11"/>
      <c r="B44" s="21" t="s">
        <v>21</v>
      </c>
      <c r="C44" s="56">
        <f>Base!C44+(D44/10000)</f>
        <v>0.54446070000000002</v>
      </c>
      <c r="D44" s="68">
        <v>100</v>
      </c>
      <c r="E44" s="21" t="s">
        <v>21</v>
      </c>
      <c r="F44" s="56">
        <f>Base!F44+(G44/10000)</f>
        <v>5.5654550000000004E-2</v>
      </c>
      <c r="G44" s="68">
        <v>100</v>
      </c>
      <c r="H44" s="100"/>
      <c r="I44" s="110"/>
      <c r="J44" s="111"/>
      <c r="K44" s="99"/>
      <c r="L44" s="112"/>
      <c r="M44" s="99"/>
      <c r="N44" s="99"/>
      <c r="O44" s="112"/>
      <c r="P44" s="99"/>
      <c r="Q44" s="113"/>
      <c r="R44" s="114"/>
      <c r="S44" s="99"/>
      <c r="T44" s="114"/>
      <c r="U44" s="114"/>
      <c r="V44" s="99"/>
      <c r="W44" s="114"/>
      <c r="X44" s="114"/>
      <c r="Y44" s="99"/>
      <c r="Z44" s="99"/>
      <c r="AA44" s="99"/>
      <c r="AB44" s="99"/>
      <c r="AC44" s="99"/>
      <c r="AD44" s="99"/>
    </row>
    <row r="45" spans="1:30" s="109" customFormat="1" ht="15.75" customHeight="1" x14ac:dyDescent="0.25">
      <c r="A45" s="11"/>
      <c r="B45" s="21" t="s">
        <v>22</v>
      </c>
      <c r="C45" s="56">
        <f>Base!C45+(D45/10000)</f>
        <v>0.522164133333333</v>
      </c>
      <c r="D45" s="68">
        <v>100</v>
      </c>
      <c r="E45" s="21" t="s">
        <v>22</v>
      </c>
      <c r="F45" s="56">
        <f>Base!F45+(G45/10000)</f>
        <v>5.55854E-2</v>
      </c>
      <c r="G45" s="68">
        <v>100</v>
      </c>
      <c r="H45" s="100"/>
      <c r="I45" s="110"/>
      <c r="J45" s="111"/>
      <c r="K45" s="99"/>
      <c r="L45" s="112"/>
      <c r="M45" s="99"/>
      <c r="N45" s="99"/>
      <c r="O45" s="112"/>
      <c r="P45" s="99"/>
      <c r="Q45" s="113"/>
      <c r="R45" s="114"/>
      <c r="S45" s="99"/>
      <c r="T45" s="114"/>
      <c r="U45" s="114"/>
      <c r="V45" s="99"/>
      <c r="W45" s="114"/>
      <c r="X45" s="114"/>
      <c r="Y45" s="99"/>
      <c r="Z45" s="99"/>
      <c r="AA45" s="99"/>
      <c r="AB45" s="99"/>
      <c r="AC45" s="99"/>
      <c r="AD45" s="99"/>
    </row>
    <row r="46" spans="1:30" s="109" customFormat="1" ht="15.75" customHeight="1" x14ac:dyDescent="0.25">
      <c r="A46" s="60"/>
      <c r="B46" s="21" t="s">
        <v>23</v>
      </c>
      <c r="C46" s="56">
        <f>Base!C46+(D46/10000)</f>
        <v>0.49788369999999998</v>
      </c>
      <c r="D46" s="68">
        <v>100</v>
      </c>
      <c r="E46" s="21" t="s">
        <v>23</v>
      </c>
      <c r="F46" s="56">
        <f>Base!F46+(G46/10000)</f>
        <v>5.5516250000000003E-2</v>
      </c>
      <c r="G46" s="68">
        <v>100</v>
      </c>
      <c r="H46" s="100"/>
      <c r="I46" s="110"/>
      <c r="J46" s="111"/>
      <c r="K46" s="99"/>
      <c r="L46" s="112"/>
      <c r="M46" s="99"/>
      <c r="N46" s="99"/>
      <c r="O46" s="112"/>
      <c r="P46" s="99"/>
      <c r="Q46" s="113"/>
      <c r="R46" s="114"/>
      <c r="S46" s="99"/>
      <c r="T46" s="114"/>
      <c r="U46" s="114"/>
      <c r="V46" s="99"/>
      <c r="W46" s="114"/>
      <c r="X46" s="114"/>
      <c r="Y46" s="99"/>
      <c r="Z46" s="99"/>
      <c r="AA46" s="99"/>
      <c r="AB46" s="99"/>
      <c r="AC46" s="99"/>
      <c r="AD46" s="99"/>
    </row>
    <row r="47" spans="1:30" s="109" customFormat="1" ht="15.75" customHeight="1" x14ac:dyDescent="0.25">
      <c r="A47" s="60"/>
      <c r="B47" s="25" t="s">
        <v>24</v>
      </c>
      <c r="C47" s="56">
        <f>Base!C47+(D47/10000)</f>
        <v>0.40798235945945899</v>
      </c>
      <c r="D47" s="68">
        <v>100</v>
      </c>
      <c r="E47" s="25" t="s">
        <v>24</v>
      </c>
      <c r="F47" s="56">
        <f>Base!F47+(G47/10000)</f>
        <v>4.7316850000000001E-2</v>
      </c>
      <c r="G47" s="68">
        <v>100</v>
      </c>
      <c r="H47" s="104"/>
      <c r="I47" s="110"/>
      <c r="J47" s="111"/>
      <c r="K47" s="99"/>
      <c r="L47" s="112"/>
      <c r="M47" s="99"/>
      <c r="N47" s="99"/>
      <c r="O47" s="112"/>
      <c r="P47" s="99"/>
      <c r="Q47" s="113"/>
      <c r="R47" s="114"/>
      <c r="S47" s="99"/>
      <c r="T47" s="114"/>
      <c r="U47" s="114"/>
      <c r="V47" s="99"/>
      <c r="W47" s="114"/>
      <c r="X47" s="114"/>
      <c r="Y47" s="99"/>
      <c r="Z47" s="99"/>
      <c r="AA47" s="99"/>
      <c r="AB47" s="99"/>
      <c r="AC47" s="99"/>
      <c r="AD47" s="99"/>
    </row>
    <row r="48" spans="1:30" s="109" customFormat="1" ht="15.75" customHeight="1" x14ac:dyDescent="0.25">
      <c r="A48" s="60"/>
      <c r="B48" s="25" t="s">
        <v>25</v>
      </c>
      <c r="C48" s="56">
        <f>Base!C48+(D48/10000)</f>
        <v>0.34635100000000002</v>
      </c>
      <c r="D48" s="68">
        <v>100</v>
      </c>
      <c r="E48" s="25" t="s">
        <v>25</v>
      </c>
      <c r="F48" s="56">
        <f>Base!F48+(G48/10000)</f>
        <v>4.6322340000000004E-2</v>
      </c>
      <c r="G48" s="68">
        <v>100</v>
      </c>
      <c r="H48" s="104"/>
      <c r="I48" s="110"/>
      <c r="J48" s="111"/>
      <c r="K48" s="99"/>
      <c r="L48" s="112"/>
      <c r="M48" s="99"/>
      <c r="N48" s="99"/>
      <c r="O48" s="112"/>
      <c r="P48" s="99"/>
      <c r="Q48" s="113"/>
      <c r="R48" s="114"/>
      <c r="S48" s="99"/>
      <c r="T48" s="114"/>
      <c r="U48" s="114"/>
      <c r="V48" s="99"/>
      <c r="W48" s="114"/>
      <c r="X48" s="114"/>
      <c r="Y48" s="99"/>
      <c r="Z48" s="99"/>
      <c r="AA48" s="99"/>
      <c r="AB48" s="99"/>
      <c r="AC48" s="99"/>
      <c r="AD48" s="99"/>
    </row>
    <row r="49" spans="1:30" s="109" customFormat="1" ht="15.75" customHeight="1" x14ac:dyDescent="0.25">
      <c r="A49" s="60"/>
      <c r="B49" s="25" t="s">
        <v>26</v>
      </c>
      <c r="C49" s="56">
        <f>Base!C49+(D49/10000)</f>
        <v>0.34635100000000002</v>
      </c>
      <c r="D49" s="68">
        <v>100</v>
      </c>
      <c r="E49" s="25" t="s">
        <v>26</v>
      </c>
      <c r="F49" s="56">
        <f>Base!F49+(G49/10000)</f>
        <v>4.6526740000000004E-2</v>
      </c>
      <c r="G49" s="68">
        <v>100</v>
      </c>
      <c r="H49" s="104"/>
      <c r="I49" s="110"/>
      <c r="J49" s="111"/>
      <c r="K49" s="99"/>
      <c r="L49" s="112"/>
      <c r="M49" s="99"/>
      <c r="N49" s="99"/>
      <c r="O49" s="112"/>
      <c r="P49" s="99"/>
      <c r="Q49" s="113"/>
      <c r="R49" s="114"/>
      <c r="S49" s="99"/>
      <c r="T49" s="114"/>
      <c r="U49" s="114"/>
      <c r="V49" s="99"/>
      <c r="W49" s="114"/>
      <c r="X49" s="114"/>
      <c r="Y49" s="99"/>
      <c r="Z49" s="99"/>
      <c r="AA49" s="99"/>
      <c r="AB49" s="99"/>
      <c r="AC49" s="99"/>
      <c r="AD49" s="99"/>
    </row>
    <row r="50" spans="1:30" s="109" customFormat="1" ht="15.75" customHeight="1" x14ac:dyDescent="0.25">
      <c r="A50" s="60"/>
      <c r="B50" s="25" t="s">
        <v>27</v>
      </c>
      <c r="C50" s="56">
        <f>Base!C50+(D50/10000)</f>
        <v>0.34635100000000002</v>
      </c>
      <c r="D50" s="68">
        <v>100</v>
      </c>
      <c r="E50" s="25" t="s">
        <v>27</v>
      </c>
      <c r="F50" s="56">
        <f>Base!F50+(G50/10000)</f>
        <v>4.6731140000000004E-2</v>
      </c>
      <c r="G50" s="68">
        <v>100</v>
      </c>
      <c r="H50" s="104"/>
      <c r="I50" s="110"/>
      <c r="J50" s="111"/>
      <c r="K50" s="99"/>
      <c r="L50" s="112"/>
      <c r="M50" s="99"/>
      <c r="N50" s="99"/>
      <c r="O50" s="112"/>
      <c r="P50" s="99"/>
      <c r="Q50" s="113"/>
      <c r="R50" s="114"/>
      <c r="S50" s="99"/>
      <c r="T50" s="114"/>
      <c r="U50" s="114"/>
      <c r="V50" s="99"/>
      <c r="W50" s="114"/>
      <c r="X50" s="114"/>
      <c r="Y50" s="99"/>
      <c r="Z50" s="99"/>
      <c r="AA50" s="99"/>
      <c r="AB50" s="99"/>
      <c r="AC50" s="99"/>
      <c r="AD50" s="99"/>
    </row>
    <row r="51" spans="1:30" s="109" customFormat="1" ht="15.75" customHeight="1" x14ac:dyDescent="0.25">
      <c r="A51" s="60"/>
      <c r="B51" s="25" t="s">
        <v>28</v>
      </c>
      <c r="C51" s="56">
        <f>Base!C51+(D51/10000)</f>
        <v>0.34635100000000002</v>
      </c>
      <c r="D51" s="68">
        <v>100</v>
      </c>
      <c r="E51" s="25" t="s">
        <v>28</v>
      </c>
      <c r="F51" s="56">
        <f>Base!F51+(G51/10000)</f>
        <v>4.7482240000000002E-2</v>
      </c>
      <c r="G51" s="68">
        <v>100</v>
      </c>
      <c r="H51" s="104"/>
      <c r="I51" s="110"/>
      <c r="J51" s="111"/>
      <c r="K51" s="99"/>
      <c r="L51" s="112"/>
      <c r="M51" s="99"/>
      <c r="N51" s="99"/>
      <c r="O51" s="112"/>
      <c r="P51" s="99"/>
      <c r="Q51" s="113"/>
      <c r="R51" s="114"/>
      <c r="S51" s="99"/>
      <c r="T51" s="114"/>
      <c r="U51" s="114"/>
      <c r="V51" s="99"/>
      <c r="W51" s="114"/>
      <c r="X51" s="114"/>
      <c r="Y51" s="99"/>
      <c r="Z51" s="99"/>
      <c r="AA51" s="99"/>
      <c r="AB51" s="99"/>
      <c r="AC51" s="99"/>
      <c r="AD51" s="99"/>
    </row>
    <row r="52" spans="1:30" s="109" customFormat="1" ht="15.75" customHeight="1" x14ac:dyDescent="0.25">
      <c r="A52" s="60"/>
      <c r="B52" s="25" t="s">
        <v>29</v>
      </c>
      <c r="C52" s="56">
        <f>Base!C52+(D52/10000)</f>
        <v>0.34635100000000002</v>
      </c>
      <c r="D52" s="68">
        <v>100</v>
      </c>
      <c r="E52" s="25" t="s">
        <v>29</v>
      </c>
      <c r="F52" s="56">
        <f>Base!F52+(G52/10000)</f>
        <v>4.823334E-2</v>
      </c>
      <c r="G52" s="68">
        <v>100</v>
      </c>
      <c r="H52" s="104"/>
      <c r="I52" s="110"/>
      <c r="J52" s="111"/>
      <c r="K52" s="99"/>
      <c r="L52" s="112"/>
      <c r="M52" s="99"/>
      <c r="N52" s="99"/>
      <c r="O52" s="112"/>
      <c r="P52" s="99"/>
      <c r="Q52" s="113"/>
      <c r="R52" s="114"/>
      <c r="S52" s="99"/>
      <c r="T52" s="114"/>
      <c r="U52" s="114"/>
      <c r="V52" s="99"/>
      <c r="W52" s="114"/>
      <c r="X52" s="114"/>
      <c r="Y52" s="99"/>
      <c r="Z52" s="99"/>
      <c r="AA52" s="99"/>
      <c r="AB52" s="99"/>
      <c r="AC52" s="99"/>
      <c r="AD52" s="99"/>
    </row>
    <row r="53" spans="1:30" s="109" customFormat="1" ht="15.75" customHeight="1" x14ac:dyDescent="0.25">
      <c r="A53" s="52"/>
      <c r="B53" s="25" t="s">
        <v>30</v>
      </c>
      <c r="C53" s="56">
        <f>Base!C53+(D53/10000)</f>
        <v>0.34635100000000002</v>
      </c>
      <c r="D53" s="68">
        <v>100</v>
      </c>
      <c r="E53" s="25" t="s">
        <v>30</v>
      </c>
      <c r="F53" s="56">
        <f>Base!F53+(G53/10000)</f>
        <v>4.9040726666666701E-2</v>
      </c>
      <c r="G53" s="68">
        <v>100</v>
      </c>
      <c r="H53" s="104"/>
      <c r="I53" s="110"/>
      <c r="J53" s="111"/>
      <c r="K53" s="99"/>
      <c r="L53" s="112"/>
      <c r="M53" s="99"/>
      <c r="N53" s="99"/>
      <c r="O53" s="112"/>
      <c r="P53" s="99"/>
      <c r="Q53" s="113"/>
      <c r="R53" s="114"/>
      <c r="S53" s="99"/>
      <c r="T53" s="114"/>
      <c r="U53" s="114"/>
      <c r="V53" s="99"/>
      <c r="W53" s="114"/>
      <c r="X53" s="114"/>
      <c r="Y53" s="99"/>
      <c r="Z53" s="99"/>
      <c r="AA53" s="99"/>
      <c r="AB53" s="99"/>
      <c r="AC53" s="99"/>
      <c r="AD53" s="99"/>
    </row>
    <row r="54" spans="1:30" s="109" customFormat="1" ht="15.75" customHeight="1" x14ac:dyDescent="0.25">
      <c r="A54" s="52"/>
      <c r="B54" s="25" t="s">
        <v>31</v>
      </c>
      <c r="C54" s="56">
        <f>Base!C54+(D54/10000)</f>
        <v>0.34635100000000002</v>
      </c>
      <c r="D54" s="68">
        <v>100</v>
      </c>
      <c r="E54" s="25" t="s">
        <v>31</v>
      </c>
      <c r="F54" s="56">
        <f>Base!F54+(G54/10000)</f>
        <v>4.9848113333333305E-2</v>
      </c>
      <c r="G54" s="68">
        <v>100</v>
      </c>
      <c r="H54" s="104"/>
      <c r="I54" s="110"/>
      <c r="J54" s="111"/>
      <c r="K54" s="99"/>
      <c r="L54" s="112"/>
      <c r="M54" s="99"/>
      <c r="N54" s="99"/>
      <c r="O54" s="112"/>
      <c r="P54" s="99"/>
      <c r="Q54" s="113"/>
      <c r="R54" s="114"/>
      <c r="S54" s="99"/>
      <c r="T54" s="114"/>
      <c r="U54" s="114"/>
      <c r="V54" s="99"/>
      <c r="W54" s="114"/>
      <c r="X54" s="114"/>
      <c r="Y54" s="99"/>
      <c r="Z54" s="99"/>
      <c r="AA54" s="99"/>
      <c r="AB54" s="99"/>
      <c r="AC54" s="99"/>
      <c r="AD54" s="99"/>
    </row>
    <row r="55" spans="1:30" s="109" customFormat="1" ht="15.75" customHeight="1" x14ac:dyDescent="0.25">
      <c r="A55" s="52"/>
      <c r="B55" s="25" t="s">
        <v>32</v>
      </c>
      <c r="C55" s="56">
        <f>Base!C55+(D55/10000)</f>
        <v>0.34635100000000002</v>
      </c>
      <c r="D55" s="68">
        <v>100</v>
      </c>
      <c r="E55" s="25" t="s">
        <v>32</v>
      </c>
      <c r="F55" s="56">
        <f>Base!F55+(G55/10000)</f>
        <v>5.0655499999999999E-2</v>
      </c>
      <c r="G55" s="68">
        <v>100</v>
      </c>
      <c r="H55" s="104"/>
      <c r="I55" s="110"/>
      <c r="J55" s="111"/>
      <c r="K55" s="99"/>
      <c r="L55" s="112"/>
      <c r="M55" s="99"/>
      <c r="N55" s="99"/>
      <c r="O55" s="112"/>
      <c r="P55" s="99"/>
      <c r="Q55" s="113"/>
      <c r="R55" s="114"/>
      <c r="S55" s="99"/>
      <c r="T55" s="114"/>
      <c r="U55" s="114"/>
      <c r="V55" s="99"/>
      <c r="W55" s="114"/>
      <c r="X55" s="114"/>
      <c r="Y55" s="99"/>
      <c r="Z55" s="99"/>
      <c r="AA55" s="99"/>
      <c r="AB55" s="99"/>
      <c r="AC55" s="99"/>
      <c r="AD55" s="99"/>
    </row>
    <row r="56" spans="1:30" s="109" customFormat="1" ht="15.75" customHeight="1" x14ac:dyDescent="0.25">
      <c r="A56" s="61"/>
      <c r="B56" s="25" t="s">
        <v>33</v>
      </c>
      <c r="C56" s="56">
        <f>Base!C56+(D56/10000)</f>
        <v>0.34635100000000002</v>
      </c>
      <c r="D56" s="68">
        <v>100</v>
      </c>
      <c r="E56" s="25" t="s">
        <v>33</v>
      </c>
      <c r="F56" s="56">
        <f>Base!F56+(G56/10000)</f>
        <v>4.9928852000000003E-2</v>
      </c>
      <c r="G56" s="68">
        <v>100</v>
      </c>
      <c r="H56" s="104"/>
      <c r="I56" s="110"/>
      <c r="J56" s="111"/>
      <c r="K56" s="104"/>
      <c r="L56" s="112"/>
      <c r="M56" s="99"/>
      <c r="N56" s="99"/>
      <c r="O56" s="112"/>
      <c r="P56" s="99"/>
      <c r="Q56" s="113"/>
      <c r="R56" s="114"/>
      <c r="S56" s="99"/>
      <c r="T56" s="114"/>
      <c r="U56" s="114"/>
      <c r="V56" s="99"/>
      <c r="W56" s="114"/>
      <c r="X56" s="114"/>
      <c r="Y56" s="99"/>
      <c r="Z56" s="99"/>
      <c r="AA56" s="99"/>
      <c r="AB56" s="99"/>
      <c r="AC56" s="99"/>
      <c r="AD56" s="99"/>
    </row>
    <row r="57" spans="1:30" s="109" customFormat="1" ht="15.75" customHeight="1" x14ac:dyDescent="0.25">
      <c r="A57" s="52"/>
      <c r="B57" s="25" t="s">
        <v>34</v>
      </c>
      <c r="C57" s="56">
        <f>Base!C57+(D57/10000)</f>
        <v>0.34635100000000002</v>
      </c>
      <c r="D57" s="68">
        <v>100</v>
      </c>
      <c r="E57" s="25" t="s">
        <v>34</v>
      </c>
      <c r="F57" s="56">
        <f>Base!F57+(G57/10000)</f>
        <v>4.9202203999999999E-2</v>
      </c>
      <c r="G57" s="68">
        <v>100</v>
      </c>
      <c r="H57" s="104"/>
      <c r="I57" s="110"/>
      <c r="J57" s="111"/>
      <c r="K57" s="104"/>
      <c r="L57" s="112"/>
      <c r="M57" s="99"/>
      <c r="N57" s="99"/>
      <c r="O57" s="112"/>
      <c r="P57" s="99"/>
      <c r="Q57" s="113"/>
      <c r="R57" s="114"/>
      <c r="S57" s="99"/>
      <c r="T57" s="114"/>
      <c r="U57" s="114"/>
      <c r="V57" s="99"/>
      <c r="W57" s="114"/>
      <c r="X57" s="114"/>
      <c r="Y57" s="99"/>
      <c r="Z57" s="99"/>
      <c r="AA57" s="99"/>
      <c r="AB57" s="99"/>
      <c r="AC57" s="99"/>
      <c r="AD57" s="99"/>
    </row>
    <row r="58" spans="1:30" s="109" customFormat="1" ht="15.75" customHeight="1" x14ac:dyDescent="0.25">
      <c r="A58" s="52"/>
      <c r="B58" s="25" t="s">
        <v>35</v>
      </c>
      <c r="C58" s="56">
        <f>Base!C58+(D58/10000)</f>
        <v>0.34635100000000002</v>
      </c>
      <c r="D58" s="68">
        <v>100</v>
      </c>
      <c r="E58" s="25" t="s">
        <v>35</v>
      </c>
      <c r="F58" s="56">
        <f>Base!F58+(G58/10000)</f>
        <v>5.0761002666666701E-2</v>
      </c>
      <c r="G58" s="68">
        <v>100</v>
      </c>
      <c r="H58" s="104"/>
      <c r="I58" s="110"/>
      <c r="J58" s="111"/>
      <c r="K58" s="104"/>
      <c r="L58" s="112"/>
      <c r="M58" s="99"/>
      <c r="N58" s="99"/>
      <c r="O58" s="112"/>
      <c r="P58" s="99"/>
      <c r="Q58" s="113"/>
      <c r="R58" s="114"/>
      <c r="S58" s="99"/>
      <c r="T58" s="114"/>
      <c r="U58" s="114"/>
      <c r="V58" s="99"/>
      <c r="W58" s="114"/>
      <c r="X58" s="114"/>
      <c r="Y58" s="99"/>
      <c r="Z58" s="99"/>
      <c r="AA58" s="99"/>
      <c r="AB58" s="99"/>
      <c r="AC58" s="99"/>
      <c r="AD58" s="99"/>
    </row>
    <row r="59" spans="1:30" s="109" customFormat="1" ht="15.75" customHeight="1" x14ac:dyDescent="0.25">
      <c r="A59" s="52"/>
      <c r="B59" s="25" t="s">
        <v>36</v>
      </c>
      <c r="C59" s="56">
        <f>Base!C59+(D59/10000)</f>
        <v>0.34635100000000002</v>
      </c>
      <c r="D59" s="68">
        <v>100</v>
      </c>
      <c r="E59" s="25" t="s">
        <v>36</v>
      </c>
      <c r="F59" s="56">
        <f>Base!F59+(G59/10000)</f>
        <v>5.2319801333333305E-2</v>
      </c>
      <c r="G59" s="68">
        <v>100</v>
      </c>
      <c r="H59" s="104"/>
      <c r="I59" s="110"/>
      <c r="J59" s="111"/>
      <c r="K59" s="104"/>
      <c r="L59" s="112"/>
      <c r="M59" s="99"/>
      <c r="N59" s="99"/>
      <c r="O59" s="112"/>
      <c r="P59" s="99"/>
      <c r="Q59" s="113"/>
      <c r="R59" s="114"/>
      <c r="S59" s="99"/>
      <c r="T59" s="114"/>
      <c r="U59" s="114"/>
      <c r="V59" s="99"/>
      <c r="W59" s="114"/>
      <c r="X59" s="114"/>
      <c r="Y59" s="99"/>
      <c r="Z59" s="99"/>
      <c r="AA59" s="99"/>
      <c r="AB59" s="99"/>
      <c r="AC59" s="99"/>
      <c r="AD59" s="99"/>
    </row>
    <row r="60" spans="1:30" s="109" customFormat="1" ht="15.75" customHeight="1" x14ac:dyDescent="0.25">
      <c r="A60" s="52"/>
      <c r="B60" s="25" t="s">
        <v>37</v>
      </c>
      <c r="C60" s="56">
        <f>Base!C60+(D60/10000)</f>
        <v>0.34635100000000002</v>
      </c>
      <c r="D60" s="68">
        <v>100</v>
      </c>
      <c r="E60" s="25" t="s">
        <v>37</v>
      </c>
      <c r="F60" s="56">
        <f>Base!F60+(G60/10000)</f>
        <v>5.3878599999999999E-2</v>
      </c>
      <c r="G60" s="68">
        <v>100</v>
      </c>
      <c r="H60" s="104"/>
      <c r="I60" s="110"/>
      <c r="J60" s="111"/>
      <c r="K60" s="104"/>
      <c r="L60" s="112"/>
      <c r="M60" s="99"/>
      <c r="N60" s="99"/>
      <c r="O60" s="99"/>
      <c r="P60" s="99"/>
      <c r="Q60" s="114"/>
      <c r="R60" s="114"/>
      <c r="S60" s="99"/>
      <c r="T60" s="114"/>
      <c r="U60" s="114"/>
      <c r="V60" s="99"/>
      <c r="W60" s="114"/>
      <c r="X60" s="114"/>
      <c r="Y60" s="99"/>
      <c r="Z60" s="99"/>
      <c r="AA60" s="99"/>
      <c r="AB60" s="99"/>
      <c r="AC60" s="99"/>
      <c r="AD60" s="99"/>
    </row>
    <row r="61" spans="1:30" s="109" customFormat="1" ht="15.75" customHeight="1" x14ac:dyDescent="0.25">
      <c r="A61" s="52"/>
      <c r="B61" s="25" t="s">
        <v>38</v>
      </c>
      <c r="C61" s="56">
        <f>Base!C61+(D61/10000)</f>
        <v>0.34635100000000002</v>
      </c>
      <c r="D61" s="68">
        <v>100</v>
      </c>
      <c r="E61" s="25" t="s">
        <v>38</v>
      </c>
      <c r="F61" s="56">
        <f>Base!F61+(G61/10000)</f>
        <v>5.4169024000000003E-2</v>
      </c>
      <c r="G61" s="68">
        <v>100</v>
      </c>
      <c r="H61" s="104"/>
      <c r="I61" s="110"/>
      <c r="J61" s="111"/>
      <c r="K61" s="104"/>
      <c r="L61" s="112"/>
      <c r="M61" s="99"/>
      <c r="N61" s="99"/>
      <c r="O61" s="99"/>
      <c r="P61" s="99"/>
      <c r="Q61" s="114"/>
      <c r="R61" s="114"/>
      <c r="S61" s="99"/>
      <c r="T61" s="114"/>
      <c r="U61" s="114"/>
      <c r="V61" s="99"/>
      <c r="W61" s="114"/>
      <c r="X61" s="114"/>
      <c r="Y61" s="99"/>
      <c r="Z61" s="99"/>
      <c r="AA61" s="99"/>
      <c r="AB61" s="99"/>
      <c r="AC61" s="99"/>
      <c r="AD61" s="99"/>
    </row>
    <row r="62" spans="1:30" s="109" customFormat="1" ht="15.75" customHeight="1" x14ac:dyDescent="0.25">
      <c r="A62" s="11"/>
      <c r="B62" s="25" t="s">
        <v>39</v>
      </c>
      <c r="C62" s="56">
        <f>Base!C62+(D62/10000)</f>
        <v>0.34635100000000002</v>
      </c>
      <c r="D62" s="68">
        <v>100</v>
      </c>
      <c r="E62" s="25" t="s">
        <v>39</v>
      </c>
      <c r="F62" s="56">
        <f>Base!F62+(G62/10000)</f>
        <v>5.4459448000000001E-2</v>
      </c>
      <c r="G62" s="68">
        <v>100</v>
      </c>
      <c r="H62" s="104"/>
      <c r="I62" s="110"/>
      <c r="J62" s="111"/>
      <c r="K62" s="115"/>
      <c r="L62" s="112"/>
      <c r="M62" s="99"/>
      <c r="N62" s="99"/>
      <c r="O62" s="99"/>
      <c r="P62" s="99"/>
      <c r="Q62" s="114"/>
      <c r="R62" s="114"/>
      <c r="S62" s="99"/>
      <c r="T62" s="114"/>
      <c r="U62" s="114"/>
      <c r="V62" s="99"/>
      <c r="W62" s="114"/>
      <c r="X62" s="114"/>
      <c r="Y62" s="99"/>
      <c r="Z62" s="99"/>
      <c r="AA62" s="99"/>
      <c r="AB62" s="99"/>
      <c r="AC62" s="99"/>
      <c r="AD62" s="99"/>
    </row>
    <row r="63" spans="1:30" s="109" customFormat="1" ht="15.75" customHeight="1" x14ac:dyDescent="0.25">
      <c r="A63" s="11"/>
      <c r="B63" s="25" t="s">
        <v>40</v>
      </c>
      <c r="C63" s="56">
        <f>Base!C63+(D63/10000)</f>
        <v>0.34635100000000002</v>
      </c>
      <c r="D63" s="68">
        <v>100</v>
      </c>
      <c r="E63" s="25" t="s">
        <v>40</v>
      </c>
      <c r="F63" s="56">
        <f>Base!F63+(G63/10000)</f>
        <v>5.4749872000000005E-2</v>
      </c>
      <c r="G63" s="68">
        <v>100</v>
      </c>
      <c r="H63" s="104"/>
      <c r="I63" s="110"/>
      <c r="J63" s="111"/>
      <c r="K63" s="115"/>
      <c r="L63" s="112"/>
      <c r="M63" s="99"/>
      <c r="N63" s="99"/>
      <c r="O63" s="99"/>
      <c r="P63" s="99"/>
      <c r="Q63" s="114"/>
      <c r="R63" s="114"/>
      <c r="S63" s="99"/>
      <c r="T63" s="114"/>
      <c r="U63" s="114"/>
      <c r="V63" s="99"/>
      <c r="W63" s="114"/>
      <c r="X63" s="114"/>
      <c r="Y63" s="99"/>
      <c r="Z63" s="99"/>
      <c r="AA63" s="99"/>
      <c r="AB63" s="99"/>
      <c r="AC63" s="99"/>
      <c r="AD63" s="99"/>
    </row>
    <row r="64" spans="1:30" s="109" customFormat="1" ht="15.75" customHeight="1" x14ac:dyDescent="0.25">
      <c r="A64" s="11"/>
      <c r="B64" s="25" t="s">
        <v>41</v>
      </c>
      <c r="C64" s="56">
        <f>Base!C64+(D64/10000)</f>
        <v>0.34635100000000002</v>
      </c>
      <c r="D64" s="68">
        <v>100</v>
      </c>
      <c r="E64" s="25" t="s">
        <v>41</v>
      </c>
      <c r="F64" s="56">
        <f>Base!F64+(G64/10000)</f>
        <v>5.5040296000000002E-2</v>
      </c>
      <c r="G64" s="68">
        <v>100</v>
      </c>
      <c r="H64" s="104"/>
      <c r="I64" s="110"/>
      <c r="J64" s="111"/>
      <c r="K64" s="115"/>
      <c r="L64" s="112"/>
      <c r="M64" s="99"/>
      <c r="N64" s="99"/>
      <c r="O64" s="99"/>
      <c r="P64" s="99"/>
      <c r="Q64" s="114"/>
      <c r="R64" s="114"/>
      <c r="S64" s="99"/>
      <c r="T64" s="114"/>
      <c r="U64" s="114"/>
      <c r="V64" s="99"/>
      <c r="W64" s="114"/>
      <c r="X64" s="114"/>
      <c r="Y64" s="99"/>
      <c r="Z64" s="99"/>
      <c r="AA64" s="99"/>
      <c r="AB64" s="99"/>
      <c r="AC64" s="99"/>
      <c r="AD64" s="99"/>
    </row>
    <row r="65" spans="1:30" s="109" customFormat="1" ht="15.75" customHeight="1" x14ac:dyDescent="0.25">
      <c r="A65" s="11"/>
      <c r="B65" s="25" t="s">
        <v>42</v>
      </c>
      <c r="C65" s="56">
        <f>Base!C65+(D65/10000)</f>
        <v>0.34635100000000002</v>
      </c>
      <c r="D65" s="68">
        <v>100</v>
      </c>
      <c r="E65" s="25" t="s">
        <v>42</v>
      </c>
      <c r="F65" s="56">
        <f>Base!F65+(G65/10000)</f>
        <v>5.533072E-2</v>
      </c>
      <c r="G65" s="68">
        <v>100</v>
      </c>
      <c r="H65" s="104"/>
      <c r="I65" s="110"/>
      <c r="J65" s="111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</row>
    <row r="66" spans="1:30" s="109" customFormat="1" ht="15.75" customHeight="1" x14ac:dyDescent="0.25">
      <c r="A66" s="11"/>
      <c r="B66" s="25" t="s">
        <v>43</v>
      </c>
      <c r="C66" s="56">
        <f>Base!C66+(D66/10000)</f>
        <v>0.34635100000000002</v>
      </c>
      <c r="D66" s="68">
        <v>100</v>
      </c>
      <c r="E66" s="25" t="s">
        <v>43</v>
      </c>
      <c r="F66" s="56">
        <f>Base!F66+(G66/10000)</f>
        <v>5.533072E-2</v>
      </c>
      <c r="G66" s="68">
        <v>100</v>
      </c>
      <c r="H66" s="104"/>
      <c r="I66" s="110"/>
      <c r="J66" s="111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</row>
    <row r="67" spans="1:30" s="109" customFormat="1" ht="15.75" customHeight="1" x14ac:dyDescent="0.25">
      <c r="A67" s="11"/>
      <c r="B67" s="25" t="s">
        <v>44</v>
      </c>
      <c r="C67" s="56">
        <f>Base!C67+(D67/10000)</f>
        <v>0.34635100000000002</v>
      </c>
      <c r="D67" s="68">
        <v>100</v>
      </c>
      <c r="E67" s="25" t="s">
        <v>44</v>
      </c>
      <c r="F67" s="56">
        <f>Base!F67+(G67/10000)</f>
        <v>5.533072E-2</v>
      </c>
      <c r="G67" s="68">
        <v>100</v>
      </c>
      <c r="H67" s="104"/>
      <c r="I67" s="110"/>
      <c r="J67" s="111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</row>
    <row r="68" spans="1:30" s="109" customFormat="1" ht="15.75" customHeight="1" x14ac:dyDescent="0.25">
      <c r="A68" s="11"/>
      <c r="B68" s="25" t="s">
        <v>45</v>
      </c>
      <c r="C68" s="56">
        <f>Base!C68+(D68/10000)</f>
        <v>0.34635100000000002</v>
      </c>
      <c r="D68" s="68">
        <v>100</v>
      </c>
      <c r="E68" s="25" t="s">
        <v>45</v>
      </c>
      <c r="F68" s="56">
        <f>Base!F68+(G68/10000)</f>
        <v>5.533072E-2</v>
      </c>
      <c r="G68" s="68">
        <v>100</v>
      </c>
      <c r="H68" s="104"/>
      <c r="I68" s="110"/>
      <c r="J68" s="111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</row>
    <row r="69" spans="1:30" s="109" customFormat="1" ht="15.75" customHeight="1" x14ac:dyDescent="0.25">
      <c r="A69" s="11"/>
      <c r="B69" s="25" t="s">
        <v>46</v>
      </c>
      <c r="C69" s="56">
        <f>Base!C69+(D69/10000)</f>
        <v>0.34635100000000002</v>
      </c>
      <c r="D69" s="68">
        <v>100</v>
      </c>
      <c r="E69" s="25" t="s">
        <v>46</v>
      </c>
      <c r="F69" s="56">
        <f>Base!F69+(G69/10000)</f>
        <v>5.533072E-2</v>
      </c>
      <c r="G69" s="68">
        <v>100</v>
      </c>
      <c r="H69" s="104"/>
      <c r="I69" s="110"/>
      <c r="J69" s="111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</row>
    <row r="70" spans="1:30" s="109" customFormat="1" ht="15.75" customHeight="1" x14ac:dyDescent="0.25">
      <c r="A70" s="11"/>
      <c r="B70" s="25" t="s">
        <v>47</v>
      </c>
      <c r="C70" s="56">
        <f>Base!C70+(D70/10000)</f>
        <v>0.34635100000000002</v>
      </c>
      <c r="D70" s="68">
        <v>100</v>
      </c>
      <c r="E70" s="25" t="s">
        <v>47</v>
      </c>
      <c r="F70" s="56">
        <f>Base!F70+(G70/10000)</f>
        <v>5.533072E-2</v>
      </c>
      <c r="G70" s="68">
        <v>100</v>
      </c>
      <c r="H70" s="104"/>
      <c r="I70" s="110"/>
      <c r="J70" s="111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63"/>
      <c r="G125" s="63"/>
      <c r="H125" s="63"/>
      <c r="I125" s="63"/>
      <c r="J125" s="63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63"/>
      <c r="G126" s="63"/>
      <c r="H126" s="63"/>
      <c r="I126" s="63"/>
      <c r="J126" s="63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/>
    <row r="263" spans="1:30" ht="15.75" customHeight="1" x14ac:dyDescent="0.25"/>
    <row r="264" spans="1:30" ht="15.75" customHeight="1" x14ac:dyDescent="0.25"/>
    <row r="265" spans="1:30" ht="15.75" customHeight="1" x14ac:dyDescent="0.25"/>
    <row r="266" spans="1:30" ht="15.75" customHeight="1" x14ac:dyDescent="0.25"/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9:H9">
    <cfRule type="cellIs" dxfId="22" priority="1" operator="equal">
      <formula>"TRUE"</formula>
    </cfRule>
  </conditionalFormatting>
  <conditionalFormatting sqref="G21:H27 J21:N27 C28:F28">
    <cfRule type="cellIs" dxfId="21" priority="2" operator="equal">
      <formula>"TRUE"</formula>
    </cfRule>
  </conditionalFormatting>
  <conditionalFormatting sqref="K9:N9">
    <cfRule type="cellIs" dxfId="20" priority="3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1000"/>
  <sheetViews>
    <sheetView showGridLines="0" topLeftCell="A35" workbookViewId="0">
      <selection activeCell="F42" sqref="F42"/>
    </sheetView>
  </sheetViews>
  <sheetFormatPr baseColWidth="10" defaultColWidth="12.6328125" defaultRowHeight="15" customHeight="1" x14ac:dyDescent="0.25"/>
  <cols>
    <col min="1" max="1" width="32.453125" customWidth="1"/>
    <col min="2" max="3" width="10.453125" customWidth="1"/>
    <col min="4" max="4" width="8" customWidth="1"/>
    <col min="5" max="6" width="10.453125" customWidth="1"/>
    <col min="7" max="7" width="8" customWidth="1"/>
    <col min="8" max="8" width="10.453125" customWidth="1"/>
    <col min="9" max="9" width="10.08984375" customWidth="1"/>
    <col min="10" max="10" width="7.453125" customWidth="1"/>
    <col min="11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30" width="23.08984375" customWidth="1"/>
  </cols>
  <sheetData>
    <row r="1" spans="1:30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  <c r="AD5" s="11"/>
    </row>
    <row r="6" spans="1:30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  <c r="AD6" s="11"/>
    </row>
    <row r="7" spans="1:30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" x14ac:dyDescent="0.25">
      <c r="A8" s="69"/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2"/>
      <c r="Y8" s="72"/>
      <c r="Z8" s="72"/>
      <c r="AA8" s="72"/>
      <c r="AB8" s="72"/>
      <c r="AC8" s="72"/>
      <c r="AD8" s="72"/>
    </row>
    <row r="9" spans="1:30" ht="14" x14ac:dyDescent="0.25">
      <c r="A9" s="33"/>
      <c r="B9" s="28"/>
      <c r="C9" s="29"/>
      <c r="D9" s="29"/>
      <c r="E9" s="29"/>
      <c r="F9" s="29"/>
      <c r="G9" s="30"/>
      <c r="H9" s="30"/>
      <c r="I9" s="31"/>
      <c r="J9" s="28"/>
      <c r="K9" s="29"/>
      <c r="L9" s="29"/>
      <c r="M9" s="29"/>
      <c r="N9" s="29"/>
      <c r="O9" s="36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  <c r="AD9" s="38"/>
    </row>
    <row r="10" spans="1:30" ht="14" x14ac:dyDescent="0.3">
      <c r="A10" s="33"/>
      <c r="B10" s="34"/>
      <c r="C10" s="35"/>
      <c r="D10" s="35"/>
      <c r="E10" s="35"/>
      <c r="F10" s="35"/>
      <c r="G10" s="35"/>
      <c r="H10" s="35"/>
      <c r="I10" s="31"/>
      <c r="J10" s="34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  <c r="AD10" s="38"/>
    </row>
    <row r="11" spans="1:30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  <c r="AD11" s="38"/>
    </row>
    <row r="12" spans="1:30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  <c r="AD12" s="38"/>
    </row>
    <row r="13" spans="1:30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  <c r="AD13" s="38"/>
    </row>
    <row r="14" spans="1:30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  <c r="AD14" s="38"/>
    </row>
    <row r="15" spans="1:30" ht="14" x14ac:dyDescent="0.25">
      <c r="A15" s="33"/>
      <c r="B15" s="31"/>
      <c r="C15" s="36"/>
      <c r="D15" s="36"/>
      <c r="E15" s="36"/>
      <c r="F15" s="36"/>
      <c r="G15" s="36"/>
      <c r="H15" s="36"/>
      <c r="I15" s="31"/>
      <c r="J15" s="31"/>
      <c r="K15" s="36"/>
      <c r="L15" s="36"/>
      <c r="M15" s="36"/>
      <c r="N15" s="36"/>
      <c r="O15" s="39"/>
      <c r="P15" s="39"/>
      <c r="Q15" s="39"/>
      <c r="R15" s="39"/>
      <c r="S15" s="39"/>
      <c r="T15" s="39"/>
      <c r="U15" s="39"/>
      <c r="V15" s="39"/>
      <c r="W15" s="39"/>
      <c r="X15" s="40"/>
      <c r="Y15" s="40"/>
      <c r="Z15" s="40"/>
      <c r="AA15" s="40"/>
      <c r="AB15" s="40"/>
      <c r="AC15" s="40"/>
      <c r="AD15" s="40"/>
    </row>
    <row r="16" spans="1:30" ht="14" x14ac:dyDescent="0.25">
      <c r="A16" s="33"/>
      <c r="B16" s="31"/>
      <c r="C16" s="36"/>
      <c r="D16" s="36"/>
      <c r="E16" s="36"/>
      <c r="F16" s="36"/>
      <c r="G16" s="39"/>
      <c r="H16" s="39"/>
      <c r="I16" s="31"/>
      <c r="J16" s="31"/>
      <c r="K16" s="36"/>
      <c r="L16" s="36"/>
      <c r="M16" s="36"/>
      <c r="N16" s="36"/>
      <c r="O16" s="30"/>
      <c r="P16" s="30"/>
      <c r="Q16" s="30"/>
      <c r="R16" s="30"/>
      <c r="S16" s="30"/>
      <c r="T16" s="30"/>
      <c r="U16" s="30"/>
      <c r="V16" s="30"/>
      <c r="W16" s="30"/>
      <c r="X16" s="32"/>
      <c r="Y16" s="32"/>
      <c r="Z16" s="32"/>
      <c r="AA16" s="32"/>
      <c r="AB16" s="32"/>
      <c r="AC16" s="32"/>
      <c r="AD16" s="32"/>
    </row>
    <row r="17" spans="1:30" ht="14" x14ac:dyDescent="0.25">
      <c r="A17" s="41"/>
      <c r="B17" s="31"/>
      <c r="C17" s="36"/>
      <c r="D17" s="36"/>
      <c r="E17" s="36"/>
      <c r="F17" s="36"/>
      <c r="G17" s="30"/>
      <c r="H17" s="30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0"/>
      <c r="Y17" s="40"/>
      <c r="Z17" s="40"/>
      <c r="AA17" s="40"/>
      <c r="AB17" s="40"/>
      <c r="AC17" s="40"/>
      <c r="AD17" s="40"/>
    </row>
    <row r="18" spans="1:30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0"/>
      <c r="Y18" s="40"/>
      <c r="Z18" s="40"/>
      <c r="AA18" s="40"/>
      <c r="AB18" s="40"/>
      <c r="AC18" s="40"/>
      <c r="AD18" s="40"/>
    </row>
    <row r="19" spans="1:30" ht="14" x14ac:dyDescent="0.25">
      <c r="A19" s="40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0"/>
      <c r="Y19" s="40"/>
      <c r="Z19" s="40"/>
      <c r="AA19" s="40"/>
      <c r="AB19" s="40"/>
      <c r="AC19" s="40"/>
      <c r="AD19" s="40"/>
    </row>
    <row r="20" spans="1:30" ht="14" x14ac:dyDescent="0.25">
      <c r="A20" s="40"/>
      <c r="B20" s="31"/>
      <c r="C20" s="36"/>
      <c r="D20" s="36"/>
      <c r="E20" s="36"/>
      <c r="F20" s="36"/>
      <c r="G20" s="36"/>
      <c r="H20" s="36"/>
      <c r="I20" s="31"/>
      <c r="J20" s="3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40"/>
      <c r="Y20" s="40"/>
      <c r="Z20" s="40"/>
      <c r="AA20" s="40"/>
      <c r="AB20" s="40"/>
      <c r="AC20" s="40"/>
      <c r="AD20" s="40"/>
    </row>
    <row r="21" spans="1:30" ht="15.75" customHeight="1" x14ac:dyDescent="0.25">
      <c r="A21" s="40"/>
      <c r="B21" s="31"/>
      <c r="C21" s="36"/>
      <c r="D21" s="36"/>
      <c r="E21" s="36"/>
      <c r="F21" s="36"/>
      <c r="G21" s="36"/>
      <c r="H21" s="36"/>
      <c r="I21" s="31"/>
      <c r="J21" s="31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40"/>
      <c r="Y21" s="40"/>
      <c r="Z21" s="40"/>
      <c r="AA21" s="40"/>
      <c r="AB21" s="40"/>
      <c r="AC21" s="40"/>
      <c r="AD21" s="40"/>
    </row>
    <row r="22" spans="1:30" ht="15.75" customHeight="1" x14ac:dyDescent="0.25">
      <c r="A22" s="40"/>
      <c r="B22" s="31"/>
      <c r="C22" s="36"/>
      <c r="D22" s="36"/>
      <c r="E22" s="36"/>
      <c r="F22" s="36"/>
      <c r="G22" s="36"/>
      <c r="H22" s="36"/>
      <c r="I22" s="31"/>
      <c r="J22" s="31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40"/>
      <c r="Y22" s="40"/>
      <c r="Z22" s="40"/>
      <c r="AA22" s="40"/>
      <c r="AB22" s="40"/>
      <c r="AC22" s="40"/>
      <c r="AD22" s="40"/>
    </row>
    <row r="23" spans="1:30" ht="15.75" customHeight="1" x14ac:dyDescent="0.25">
      <c r="A23" s="40"/>
      <c r="B23" s="31"/>
      <c r="C23" s="36"/>
      <c r="D23" s="36"/>
      <c r="E23" s="36"/>
      <c r="F23" s="36"/>
      <c r="G23" s="36"/>
      <c r="H23" s="36"/>
      <c r="I23" s="31"/>
      <c r="J23" s="31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40"/>
      <c r="Y23" s="40"/>
      <c r="Z23" s="40"/>
      <c r="AA23" s="40"/>
      <c r="AB23" s="40"/>
      <c r="AC23" s="40"/>
      <c r="AD23" s="40"/>
    </row>
    <row r="24" spans="1:30" ht="15.75" customHeight="1" x14ac:dyDescent="0.25">
      <c r="A24" s="40"/>
      <c r="B24" s="31"/>
      <c r="C24" s="36"/>
      <c r="D24" s="36"/>
      <c r="E24" s="36"/>
      <c r="F24" s="36"/>
      <c r="G24" s="36"/>
      <c r="H24" s="36"/>
      <c r="I24" s="31"/>
      <c r="J24" s="31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40"/>
      <c r="Y24" s="40"/>
      <c r="Z24" s="40"/>
      <c r="AA24" s="40"/>
      <c r="AB24" s="40"/>
      <c r="AC24" s="40"/>
      <c r="AD24" s="40"/>
    </row>
    <row r="25" spans="1:30" ht="15.75" customHeight="1" x14ac:dyDescent="0.25">
      <c r="A25" s="40"/>
      <c r="B25" s="31"/>
      <c r="C25" s="36"/>
      <c r="D25" s="36"/>
      <c r="E25" s="36"/>
      <c r="F25" s="36"/>
      <c r="G25" s="36"/>
      <c r="H25" s="36"/>
      <c r="I25" s="31"/>
      <c r="J25" s="31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40"/>
      <c r="Y25" s="40"/>
      <c r="Z25" s="40"/>
      <c r="AA25" s="40"/>
      <c r="AB25" s="40"/>
      <c r="AC25" s="40"/>
      <c r="AD25" s="40"/>
    </row>
    <row r="26" spans="1:30" ht="15.75" customHeight="1" x14ac:dyDescent="0.25">
      <c r="A26" s="40"/>
      <c r="B26" s="31"/>
      <c r="C26" s="36"/>
      <c r="D26" s="36"/>
      <c r="E26" s="36"/>
      <c r="F26" s="36"/>
      <c r="G26" s="36"/>
      <c r="H26" s="36"/>
      <c r="I26" s="31"/>
      <c r="J26" s="31"/>
      <c r="K26" s="36"/>
      <c r="L26" s="36"/>
      <c r="M26" s="36"/>
      <c r="N26" s="36"/>
      <c r="O26" s="42"/>
      <c r="P26" s="42"/>
      <c r="Q26" s="42"/>
      <c r="R26" s="42"/>
      <c r="S26" s="42"/>
      <c r="T26" s="42"/>
      <c r="U26" s="42"/>
      <c r="V26" s="42"/>
      <c r="W26" s="42"/>
      <c r="X26" s="40"/>
      <c r="Y26" s="40"/>
      <c r="Z26" s="40"/>
      <c r="AA26" s="40"/>
      <c r="AB26" s="40"/>
      <c r="AC26" s="40"/>
      <c r="AD26" s="40"/>
    </row>
    <row r="27" spans="1:30" ht="15.75" customHeight="1" x14ac:dyDescent="0.25">
      <c r="A27" s="40"/>
      <c r="B27" s="31"/>
      <c r="C27" s="31"/>
      <c r="D27" s="31"/>
      <c r="E27" s="31"/>
      <c r="F27" s="31"/>
      <c r="G27" s="36"/>
      <c r="H27" s="36"/>
      <c r="I27" s="31"/>
      <c r="J27" s="31"/>
      <c r="K27" s="36"/>
      <c r="L27" s="36"/>
      <c r="M27" s="36"/>
      <c r="N27" s="36"/>
      <c r="O27" s="42"/>
      <c r="P27" s="42"/>
      <c r="Q27" s="42"/>
      <c r="R27" s="42"/>
      <c r="S27" s="42"/>
      <c r="T27" s="42"/>
      <c r="U27" s="42"/>
      <c r="V27" s="42"/>
      <c r="W27" s="42"/>
      <c r="X27" s="40"/>
      <c r="Y27" s="40"/>
      <c r="Z27" s="40"/>
      <c r="AA27" s="40"/>
      <c r="AB27" s="40"/>
      <c r="AC27" s="40"/>
      <c r="AD27" s="40"/>
    </row>
    <row r="28" spans="1:30" ht="15.75" customHeight="1" x14ac:dyDescent="0.3">
      <c r="A28" s="40"/>
      <c r="B28" s="31"/>
      <c r="C28" s="29"/>
      <c r="D28" s="29"/>
      <c r="E28" s="29"/>
      <c r="F28" s="29"/>
      <c r="G28" s="35"/>
      <c r="H28" s="35"/>
      <c r="I28" s="31"/>
      <c r="J28" s="31"/>
      <c r="K28" s="36"/>
      <c r="L28" s="36"/>
      <c r="M28" s="36"/>
      <c r="N28" s="36"/>
      <c r="O28" s="42"/>
      <c r="P28" s="42"/>
      <c r="Q28" s="42"/>
      <c r="R28" s="42"/>
      <c r="S28" s="42"/>
      <c r="T28" s="42"/>
      <c r="U28" s="42"/>
      <c r="V28" s="42"/>
      <c r="W28" s="42"/>
      <c r="X28" s="40"/>
      <c r="Y28" s="40"/>
      <c r="Z28" s="40"/>
      <c r="AA28" s="40"/>
      <c r="AB28" s="40"/>
      <c r="AC28" s="40"/>
      <c r="AD28" s="40"/>
    </row>
    <row r="29" spans="1:30" ht="15.75" customHeight="1" x14ac:dyDescent="0.3">
      <c r="A29" s="40"/>
      <c r="B29" s="34"/>
      <c r="C29" s="35"/>
      <c r="D29" s="35"/>
      <c r="E29" s="35"/>
      <c r="F29" s="35"/>
      <c r="G29" s="42"/>
      <c r="H29" s="42"/>
      <c r="I29" s="31"/>
      <c r="J29" s="31"/>
      <c r="K29" s="36"/>
      <c r="L29" s="36"/>
      <c r="M29" s="36"/>
      <c r="N29" s="3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0"/>
      <c r="AB29" s="40"/>
      <c r="AC29" s="40"/>
      <c r="AD29" s="40"/>
    </row>
    <row r="30" spans="1:30" ht="15.75" customHeight="1" x14ac:dyDescent="0.25">
      <c r="A30" s="40"/>
      <c r="B30" s="31"/>
      <c r="C30" s="42"/>
      <c r="D30" s="42"/>
      <c r="E30" s="42"/>
      <c r="F30" s="42"/>
      <c r="G30" s="42"/>
      <c r="H30" s="42"/>
      <c r="I30" s="31"/>
      <c r="J30" s="31"/>
      <c r="K30" s="36"/>
      <c r="L30" s="36"/>
      <c r="M30" s="36"/>
      <c r="N30" s="36"/>
      <c r="O30" s="30"/>
      <c r="P30" s="30"/>
      <c r="Q30" s="30"/>
      <c r="R30" s="30"/>
      <c r="S30" s="30"/>
      <c r="T30" s="30"/>
      <c r="U30" s="30"/>
      <c r="V30" s="30"/>
      <c r="W30" s="30"/>
      <c r="X30" s="43"/>
      <c r="Y30" s="43"/>
      <c r="Z30" s="43"/>
      <c r="AA30" s="40"/>
      <c r="AB30" s="40"/>
      <c r="AC30" s="40"/>
      <c r="AD30" s="40"/>
    </row>
    <row r="31" spans="1:30" ht="15.75" customHeight="1" x14ac:dyDescent="0.25">
      <c r="A31" s="40"/>
      <c r="B31" s="31"/>
      <c r="C31" s="42"/>
      <c r="D31" s="42"/>
      <c r="E31" s="42"/>
      <c r="F31" s="42"/>
      <c r="G31" s="43"/>
      <c r="H31" s="43"/>
      <c r="I31" s="43"/>
      <c r="J31" s="43"/>
      <c r="K31" s="43"/>
      <c r="L31" s="43"/>
      <c r="M31" s="43"/>
      <c r="N31" s="43"/>
      <c r="O31" s="42"/>
      <c r="P31" s="42"/>
      <c r="Q31" s="42"/>
      <c r="R31" s="42"/>
      <c r="S31" s="42"/>
      <c r="T31" s="42"/>
      <c r="U31" s="42"/>
      <c r="V31" s="42"/>
      <c r="W31" s="42"/>
      <c r="X31" s="43"/>
      <c r="Y31" s="43"/>
      <c r="Z31" s="43"/>
      <c r="AA31" s="40"/>
      <c r="AB31" s="40"/>
      <c r="AC31" s="40"/>
      <c r="AD31" s="40"/>
    </row>
    <row r="32" spans="1:30" ht="15.75" customHeight="1" x14ac:dyDescent="0.25">
      <c r="A32" s="40"/>
      <c r="B32" s="29"/>
      <c r="C32" s="36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3"/>
      <c r="Y32" s="43"/>
      <c r="Z32" s="43"/>
      <c r="AA32" s="40"/>
      <c r="AB32" s="40"/>
      <c r="AC32" s="40"/>
      <c r="AD32" s="40"/>
    </row>
    <row r="33" spans="1:30" ht="15.75" customHeight="1" x14ac:dyDescent="0.25">
      <c r="A33" s="40"/>
      <c r="B33" s="2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43"/>
      <c r="Y33" s="43"/>
      <c r="Z33" s="43"/>
      <c r="AA33" s="40"/>
      <c r="AB33" s="40"/>
      <c r="AC33" s="40"/>
      <c r="AD33" s="40"/>
    </row>
    <row r="34" spans="1:30" ht="15.75" customHeight="1" x14ac:dyDescent="0.25">
      <c r="A34" s="40"/>
      <c r="B34" s="2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43"/>
      <c r="Y34" s="43"/>
      <c r="Z34" s="43"/>
      <c r="AA34" s="40"/>
      <c r="AB34" s="40"/>
      <c r="AC34" s="40"/>
      <c r="AD34" s="40"/>
    </row>
    <row r="35" spans="1:30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  <c r="AD35" s="45"/>
    </row>
    <row r="36" spans="1:30" ht="15.75" customHeight="1" x14ac:dyDescent="0.25">
      <c r="A36" s="45"/>
      <c r="B36" s="50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1"/>
      <c r="Y36" s="51"/>
      <c r="Z36" s="51"/>
      <c r="AA36" s="51"/>
      <c r="AB36" s="51"/>
      <c r="AC36" s="51"/>
      <c r="AD36" s="51"/>
    </row>
    <row r="37" spans="1:30" ht="15.75" customHeight="1" x14ac:dyDescent="0.25">
      <c r="A37" s="1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1"/>
      <c r="AB37" s="11"/>
      <c r="AC37" s="11"/>
      <c r="AD37" s="11"/>
    </row>
    <row r="38" spans="1:30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  <c r="AD38" s="11"/>
    </row>
    <row r="39" spans="1:30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  <c r="AD39" s="11"/>
    </row>
    <row r="40" spans="1:30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53" t="s">
        <v>66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11"/>
      <c r="L42" s="55"/>
      <c r="M42" s="11"/>
      <c r="N42" s="11"/>
      <c r="O42" s="55"/>
      <c r="P42" s="11"/>
      <c r="Q42" s="11"/>
      <c r="R42" s="55"/>
      <c r="S42" s="11"/>
      <c r="T42" s="11"/>
      <c r="U42" s="55"/>
      <c r="V42" s="11"/>
      <c r="W42" s="11"/>
      <c r="X42" s="55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21" t="s">
        <v>20</v>
      </c>
      <c r="C43" s="56">
        <f>Base!C43+(D43/10000)</f>
        <v>0.54035080000000002</v>
      </c>
      <c r="D43" s="68">
        <v>-100</v>
      </c>
      <c r="E43" s="21" t="s">
        <v>20</v>
      </c>
      <c r="F43" s="56">
        <f>Base!F43+(G43/10000)</f>
        <v>3.5717039999999999E-2</v>
      </c>
      <c r="G43" s="68">
        <v>-100</v>
      </c>
      <c r="H43" s="100"/>
      <c r="I43" s="110"/>
      <c r="J43" s="111"/>
      <c r="K43" s="11"/>
      <c r="L43" s="58"/>
      <c r="M43" s="11"/>
      <c r="N43" s="11"/>
      <c r="O43" s="58"/>
      <c r="P43" s="11"/>
      <c r="Q43" s="59"/>
      <c r="R43" s="26"/>
      <c r="S43" s="11"/>
      <c r="T43" s="26"/>
      <c r="U43" s="26"/>
      <c r="V43" s="11"/>
      <c r="W43" s="26"/>
      <c r="X43" s="26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21" t="s">
        <v>21</v>
      </c>
      <c r="C44" s="56">
        <f>Base!C44+(D44/10000)</f>
        <v>0.5244607</v>
      </c>
      <c r="D44" s="68">
        <v>-100</v>
      </c>
      <c r="E44" s="21" t="s">
        <v>21</v>
      </c>
      <c r="F44" s="56">
        <f>Base!F44+(G44/10000)</f>
        <v>3.565455E-2</v>
      </c>
      <c r="G44" s="68">
        <v>-100</v>
      </c>
      <c r="H44" s="100"/>
      <c r="I44" s="110"/>
      <c r="J44" s="111"/>
      <c r="K44" s="11"/>
      <c r="L44" s="58"/>
      <c r="M44" s="11"/>
      <c r="N44" s="11"/>
      <c r="O44" s="58"/>
      <c r="P44" s="11"/>
      <c r="Q44" s="59"/>
      <c r="R44" s="26"/>
      <c r="S44" s="11"/>
      <c r="T44" s="26"/>
      <c r="U44" s="26"/>
      <c r="V44" s="11"/>
      <c r="W44" s="26"/>
      <c r="X44" s="26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21" t="s">
        <v>22</v>
      </c>
      <c r="C45" s="56">
        <f>Base!C45+(D45/10000)</f>
        <v>0.50216413333333298</v>
      </c>
      <c r="D45" s="68">
        <v>-100</v>
      </c>
      <c r="E45" s="21" t="s">
        <v>22</v>
      </c>
      <c r="F45" s="56">
        <f>Base!F45+(G45/10000)</f>
        <v>3.5585399999999996E-2</v>
      </c>
      <c r="G45" s="68">
        <v>-100</v>
      </c>
      <c r="H45" s="100"/>
      <c r="I45" s="110"/>
      <c r="J45" s="111"/>
      <c r="K45" s="11"/>
      <c r="L45" s="58"/>
      <c r="M45" s="11"/>
      <c r="N45" s="11"/>
      <c r="O45" s="58"/>
      <c r="P45" s="11"/>
      <c r="Q45" s="59"/>
      <c r="R45" s="26"/>
      <c r="S45" s="11"/>
      <c r="T45" s="26"/>
      <c r="U45" s="26"/>
      <c r="V45" s="11"/>
      <c r="W45" s="26"/>
      <c r="X45" s="26"/>
      <c r="Y45" s="11"/>
      <c r="Z45" s="11"/>
      <c r="AA45" s="11"/>
      <c r="AB45" s="11"/>
      <c r="AC45" s="11"/>
      <c r="AD45" s="11"/>
    </row>
    <row r="46" spans="1:30" ht="15.75" customHeight="1" x14ac:dyDescent="0.25">
      <c r="A46" s="60"/>
      <c r="B46" s="21" t="s">
        <v>23</v>
      </c>
      <c r="C46" s="56">
        <f>Base!C46+(D46/10000)</f>
        <v>0.47788369999999997</v>
      </c>
      <c r="D46" s="68">
        <v>-100</v>
      </c>
      <c r="E46" s="21" t="s">
        <v>23</v>
      </c>
      <c r="F46" s="56">
        <f>Base!F46+(G46/10000)</f>
        <v>3.5516249999999999E-2</v>
      </c>
      <c r="G46" s="68">
        <v>-100</v>
      </c>
      <c r="H46" s="100"/>
      <c r="I46" s="110"/>
      <c r="J46" s="111"/>
      <c r="K46" s="11"/>
      <c r="L46" s="58"/>
      <c r="M46" s="11"/>
      <c r="N46" s="11"/>
      <c r="O46" s="58"/>
      <c r="P46" s="11"/>
      <c r="Q46" s="59"/>
      <c r="R46" s="26"/>
      <c r="S46" s="11"/>
      <c r="T46" s="26"/>
      <c r="U46" s="26"/>
      <c r="V46" s="11"/>
      <c r="W46" s="26"/>
      <c r="X46" s="26"/>
      <c r="Y46" s="11"/>
      <c r="Z46" s="11"/>
      <c r="AA46" s="11"/>
      <c r="AB46" s="11"/>
      <c r="AC46" s="11"/>
      <c r="AD46" s="11"/>
    </row>
    <row r="47" spans="1:30" ht="15.75" customHeight="1" x14ac:dyDescent="0.25">
      <c r="A47" s="60"/>
      <c r="B47" s="25" t="s">
        <v>24</v>
      </c>
      <c r="C47" s="56">
        <f>Base!C47+(D47/10000)</f>
        <v>0.38798235945945897</v>
      </c>
      <c r="D47" s="68">
        <v>-100</v>
      </c>
      <c r="E47" s="25" t="s">
        <v>24</v>
      </c>
      <c r="F47" s="56">
        <f>Base!F47+(G47/10000)</f>
        <v>2.7316849999999997E-2</v>
      </c>
      <c r="G47" s="68">
        <v>-100</v>
      </c>
      <c r="H47" s="104"/>
      <c r="I47" s="110"/>
      <c r="J47" s="111"/>
      <c r="K47" s="11"/>
      <c r="L47" s="58"/>
      <c r="M47" s="11"/>
      <c r="N47" s="11"/>
      <c r="O47" s="58"/>
      <c r="P47" s="11"/>
      <c r="Q47" s="59"/>
      <c r="R47" s="26"/>
      <c r="S47" s="11"/>
      <c r="T47" s="26"/>
      <c r="U47" s="26"/>
      <c r="V47" s="11"/>
      <c r="W47" s="26"/>
      <c r="X47" s="26"/>
      <c r="Y47" s="11"/>
      <c r="Z47" s="11"/>
      <c r="AA47" s="11"/>
      <c r="AB47" s="11"/>
      <c r="AC47" s="11"/>
      <c r="AD47" s="11"/>
    </row>
    <row r="48" spans="1:30" ht="15.75" customHeight="1" x14ac:dyDescent="0.25">
      <c r="A48" s="60"/>
      <c r="B48" s="25" t="s">
        <v>25</v>
      </c>
      <c r="C48" s="56">
        <f>Base!C48+(D48/10000)</f>
        <v>0.326351</v>
      </c>
      <c r="D48" s="68">
        <v>-100</v>
      </c>
      <c r="E48" s="25" t="s">
        <v>25</v>
      </c>
      <c r="F48" s="56">
        <f>Base!F48+(G48/10000)</f>
        <v>2.632234E-2</v>
      </c>
      <c r="G48" s="68">
        <v>-100</v>
      </c>
      <c r="H48" s="104"/>
      <c r="I48" s="110"/>
      <c r="J48" s="111"/>
      <c r="K48" s="11"/>
      <c r="L48" s="58"/>
      <c r="M48" s="11"/>
      <c r="N48" s="11"/>
      <c r="O48" s="58"/>
      <c r="P48" s="11"/>
      <c r="Q48" s="59"/>
      <c r="R48" s="26"/>
      <c r="S48" s="11"/>
      <c r="T48" s="26"/>
      <c r="U48" s="26"/>
      <c r="V48" s="11"/>
      <c r="W48" s="26"/>
      <c r="X48" s="26"/>
      <c r="Y48" s="11"/>
      <c r="Z48" s="11"/>
      <c r="AA48" s="11"/>
      <c r="AB48" s="11"/>
      <c r="AC48" s="11"/>
      <c r="AD48" s="11"/>
    </row>
    <row r="49" spans="1:30" ht="15.75" customHeight="1" x14ac:dyDescent="0.25">
      <c r="A49" s="60"/>
      <c r="B49" s="25" t="s">
        <v>26</v>
      </c>
      <c r="C49" s="56">
        <f>Base!C49+(D49/10000)</f>
        <v>0.326351</v>
      </c>
      <c r="D49" s="68">
        <v>-100</v>
      </c>
      <c r="E49" s="25" t="s">
        <v>26</v>
      </c>
      <c r="F49" s="56">
        <f>Base!F49+(G49/10000)</f>
        <v>2.652674E-2</v>
      </c>
      <c r="G49" s="68">
        <v>-100</v>
      </c>
      <c r="H49" s="104"/>
      <c r="I49" s="110"/>
      <c r="J49" s="111"/>
      <c r="K49" s="11"/>
      <c r="L49" s="58"/>
      <c r="M49" s="11"/>
      <c r="N49" s="11"/>
      <c r="O49" s="58"/>
      <c r="P49" s="11"/>
      <c r="Q49" s="59"/>
      <c r="R49" s="26"/>
      <c r="S49" s="11"/>
      <c r="T49" s="26"/>
      <c r="U49" s="26"/>
      <c r="V49" s="11"/>
      <c r="W49" s="26"/>
      <c r="X49" s="26"/>
      <c r="Y49" s="11"/>
      <c r="Z49" s="11"/>
      <c r="AA49" s="11"/>
      <c r="AB49" s="11"/>
      <c r="AC49" s="11"/>
      <c r="AD49" s="11"/>
    </row>
    <row r="50" spans="1:30" ht="15.75" customHeight="1" x14ac:dyDescent="0.25">
      <c r="A50" s="60"/>
      <c r="B50" s="25" t="s">
        <v>27</v>
      </c>
      <c r="C50" s="56">
        <f>Base!C50+(D50/10000)</f>
        <v>0.326351</v>
      </c>
      <c r="D50" s="68">
        <v>-100</v>
      </c>
      <c r="E50" s="25" t="s">
        <v>27</v>
      </c>
      <c r="F50" s="56">
        <f>Base!F50+(G50/10000)</f>
        <v>2.673114E-2</v>
      </c>
      <c r="G50" s="68">
        <v>-100</v>
      </c>
      <c r="H50" s="104"/>
      <c r="I50" s="110"/>
      <c r="J50" s="111"/>
      <c r="K50" s="11"/>
      <c r="L50" s="58"/>
      <c r="M50" s="11"/>
      <c r="N50" s="11"/>
      <c r="O50" s="58"/>
      <c r="P50" s="11"/>
      <c r="Q50" s="59"/>
      <c r="R50" s="26"/>
      <c r="S50" s="11"/>
      <c r="T50" s="26"/>
      <c r="U50" s="26"/>
      <c r="V50" s="11"/>
      <c r="W50" s="26"/>
      <c r="X50" s="26"/>
      <c r="Y50" s="11"/>
      <c r="Z50" s="11"/>
      <c r="AA50" s="11"/>
      <c r="AB50" s="11"/>
      <c r="AC50" s="11"/>
      <c r="AD50" s="11"/>
    </row>
    <row r="51" spans="1:30" ht="15.75" customHeight="1" x14ac:dyDescent="0.25">
      <c r="A51" s="60"/>
      <c r="B51" s="25" t="s">
        <v>28</v>
      </c>
      <c r="C51" s="56">
        <f>Base!C51+(D51/10000)</f>
        <v>0.326351</v>
      </c>
      <c r="D51" s="68">
        <v>-100</v>
      </c>
      <c r="E51" s="25" t="s">
        <v>28</v>
      </c>
      <c r="F51" s="56">
        <f>Base!F51+(G51/10000)</f>
        <v>2.7482239999999998E-2</v>
      </c>
      <c r="G51" s="68">
        <v>-100</v>
      </c>
      <c r="H51" s="104"/>
      <c r="I51" s="110"/>
      <c r="J51" s="111"/>
      <c r="K51" s="11"/>
      <c r="L51" s="58"/>
      <c r="M51" s="11"/>
      <c r="N51" s="11"/>
      <c r="O51" s="58"/>
      <c r="P51" s="11"/>
      <c r="Q51" s="59"/>
      <c r="R51" s="26"/>
      <c r="S51" s="11"/>
      <c r="T51" s="26"/>
      <c r="U51" s="26"/>
      <c r="V51" s="11"/>
      <c r="W51" s="26"/>
      <c r="X51" s="26"/>
      <c r="Y51" s="11"/>
      <c r="Z51" s="11"/>
      <c r="AA51" s="11"/>
      <c r="AB51" s="11"/>
      <c r="AC51" s="11"/>
      <c r="AD51" s="11"/>
    </row>
    <row r="52" spans="1:30" ht="15.75" customHeight="1" x14ac:dyDescent="0.25">
      <c r="A52" s="60"/>
      <c r="B52" s="25" t="s">
        <v>29</v>
      </c>
      <c r="C52" s="56">
        <f>Base!C52+(D52/10000)</f>
        <v>0.326351</v>
      </c>
      <c r="D52" s="68">
        <v>-100</v>
      </c>
      <c r="E52" s="25" t="s">
        <v>29</v>
      </c>
      <c r="F52" s="56">
        <f>Base!F52+(G52/10000)</f>
        <v>2.8233339999999996E-2</v>
      </c>
      <c r="G52" s="68">
        <v>-100</v>
      </c>
      <c r="H52" s="104"/>
      <c r="I52" s="110"/>
      <c r="J52" s="111"/>
      <c r="K52" s="11"/>
      <c r="L52" s="58"/>
      <c r="M52" s="11"/>
      <c r="N52" s="11"/>
      <c r="O52" s="58"/>
      <c r="P52" s="11"/>
      <c r="Q52" s="59"/>
      <c r="R52" s="26"/>
      <c r="S52" s="11"/>
      <c r="T52" s="26"/>
      <c r="U52" s="26"/>
      <c r="V52" s="11"/>
      <c r="W52" s="26"/>
      <c r="X52" s="26"/>
      <c r="Y52" s="11"/>
      <c r="Z52" s="11"/>
      <c r="AA52" s="11"/>
      <c r="AB52" s="11"/>
      <c r="AC52" s="11"/>
      <c r="AD52" s="11"/>
    </row>
    <row r="53" spans="1:30" ht="15.75" customHeight="1" x14ac:dyDescent="0.25">
      <c r="A53" s="52"/>
      <c r="B53" s="25" t="s">
        <v>30</v>
      </c>
      <c r="C53" s="56">
        <f>Base!C53+(D53/10000)</f>
        <v>0.326351</v>
      </c>
      <c r="D53" s="68">
        <v>-100</v>
      </c>
      <c r="E53" s="25" t="s">
        <v>30</v>
      </c>
      <c r="F53" s="56">
        <f>Base!F53+(G53/10000)</f>
        <v>2.9040726666666697E-2</v>
      </c>
      <c r="G53" s="68">
        <v>-100</v>
      </c>
      <c r="H53" s="104"/>
      <c r="I53" s="110"/>
      <c r="J53" s="111"/>
      <c r="K53" s="11"/>
      <c r="L53" s="58"/>
      <c r="M53" s="11"/>
      <c r="N53" s="11"/>
      <c r="O53" s="58"/>
      <c r="P53" s="11"/>
      <c r="Q53" s="59"/>
      <c r="R53" s="26"/>
      <c r="S53" s="11"/>
      <c r="T53" s="26"/>
      <c r="U53" s="26"/>
      <c r="V53" s="11"/>
      <c r="W53" s="26"/>
      <c r="X53" s="26"/>
      <c r="Y53" s="11"/>
      <c r="Z53" s="11"/>
      <c r="AA53" s="11"/>
      <c r="AB53" s="11"/>
      <c r="AC53" s="11"/>
      <c r="AD53" s="11"/>
    </row>
    <row r="54" spans="1:30" ht="15.75" customHeight="1" x14ac:dyDescent="0.25">
      <c r="A54" s="52"/>
      <c r="B54" s="25" t="s">
        <v>31</v>
      </c>
      <c r="C54" s="56">
        <f>Base!C54+(D54/10000)</f>
        <v>0.326351</v>
      </c>
      <c r="D54" s="68">
        <v>-100</v>
      </c>
      <c r="E54" s="25" t="s">
        <v>31</v>
      </c>
      <c r="F54" s="56">
        <f>Base!F54+(G54/10000)</f>
        <v>2.9848113333333301E-2</v>
      </c>
      <c r="G54" s="68">
        <v>-100</v>
      </c>
      <c r="H54" s="104"/>
      <c r="I54" s="110"/>
      <c r="J54" s="111"/>
      <c r="K54" s="11"/>
      <c r="L54" s="58"/>
      <c r="M54" s="11"/>
      <c r="N54" s="11"/>
      <c r="O54" s="58"/>
      <c r="P54" s="11"/>
      <c r="Q54" s="59"/>
      <c r="R54" s="26"/>
      <c r="S54" s="11"/>
      <c r="T54" s="26"/>
      <c r="U54" s="26"/>
      <c r="V54" s="11"/>
      <c r="W54" s="26"/>
      <c r="X54" s="26"/>
      <c r="Y54" s="11"/>
      <c r="Z54" s="11"/>
      <c r="AA54" s="11"/>
      <c r="AB54" s="11"/>
      <c r="AC54" s="11"/>
      <c r="AD54" s="11"/>
    </row>
    <row r="55" spans="1:30" ht="15.75" customHeight="1" x14ac:dyDescent="0.25">
      <c r="A55" s="52"/>
      <c r="B55" s="25" t="s">
        <v>32</v>
      </c>
      <c r="C55" s="56">
        <f>Base!C55+(D55/10000)</f>
        <v>0.326351</v>
      </c>
      <c r="D55" s="68">
        <v>-100</v>
      </c>
      <c r="E55" s="25" t="s">
        <v>32</v>
      </c>
      <c r="F55" s="56">
        <f>Base!F55+(G55/10000)</f>
        <v>3.0655499999999995E-2</v>
      </c>
      <c r="G55" s="68">
        <v>-100</v>
      </c>
      <c r="H55" s="104"/>
      <c r="I55" s="110"/>
      <c r="J55" s="111"/>
      <c r="K55" s="11"/>
      <c r="L55" s="58"/>
      <c r="M55" s="11"/>
      <c r="N55" s="11"/>
      <c r="O55" s="58"/>
      <c r="P55" s="11"/>
      <c r="Q55" s="59"/>
      <c r="R55" s="26"/>
      <c r="S55" s="11"/>
      <c r="T55" s="26"/>
      <c r="U55" s="26"/>
      <c r="V55" s="11"/>
      <c r="W55" s="26"/>
      <c r="X55" s="26"/>
      <c r="Y55" s="11"/>
      <c r="Z55" s="11"/>
      <c r="AA55" s="11"/>
      <c r="AB55" s="11"/>
      <c r="AC55" s="11"/>
      <c r="AD55" s="11"/>
    </row>
    <row r="56" spans="1:30" ht="15.75" customHeight="1" x14ac:dyDescent="0.25">
      <c r="A56" s="61"/>
      <c r="B56" s="25" t="s">
        <v>33</v>
      </c>
      <c r="C56" s="56">
        <f>Base!C56+(D56/10000)</f>
        <v>0.326351</v>
      </c>
      <c r="D56" s="68">
        <v>-100</v>
      </c>
      <c r="E56" s="25" t="s">
        <v>33</v>
      </c>
      <c r="F56" s="56">
        <f>Base!F56+(G56/10000)</f>
        <v>2.9928851999999999E-2</v>
      </c>
      <c r="G56" s="68">
        <v>-100</v>
      </c>
      <c r="H56" s="104"/>
      <c r="I56" s="110"/>
      <c r="J56" s="111"/>
      <c r="K56" s="25"/>
      <c r="L56" s="58"/>
      <c r="M56" s="11"/>
      <c r="N56" s="11"/>
      <c r="O56" s="58"/>
      <c r="P56" s="11"/>
      <c r="Q56" s="59"/>
      <c r="R56" s="26"/>
      <c r="S56" s="11"/>
      <c r="T56" s="26"/>
      <c r="U56" s="26"/>
      <c r="V56" s="11"/>
      <c r="W56" s="26"/>
      <c r="X56" s="26"/>
      <c r="Y56" s="11"/>
      <c r="Z56" s="11"/>
      <c r="AA56" s="11"/>
      <c r="AB56" s="11"/>
      <c r="AC56" s="11"/>
      <c r="AD56" s="11"/>
    </row>
    <row r="57" spans="1:30" ht="15.75" customHeight="1" x14ac:dyDescent="0.25">
      <c r="A57" s="52"/>
      <c r="B57" s="25" t="s">
        <v>34</v>
      </c>
      <c r="C57" s="56">
        <f>Base!C57+(D57/10000)</f>
        <v>0.326351</v>
      </c>
      <c r="D57" s="68">
        <v>-100</v>
      </c>
      <c r="E57" s="25" t="s">
        <v>34</v>
      </c>
      <c r="F57" s="56">
        <f>Base!F57+(G57/10000)</f>
        <v>2.9202203999999995E-2</v>
      </c>
      <c r="G57" s="68">
        <v>-100</v>
      </c>
      <c r="H57" s="104"/>
      <c r="I57" s="110"/>
      <c r="J57" s="111"/>
      <c r="K57" s="25"/>
      <c r="L57" s="58"/>
      <c r="M57" s="11"/>
      <c r="N57" s="11"/>
      <c r="O57" s="58"/>
      <c r="P57" s="11"/>
      <c r="Q57" s="59"/>
      <c r="R57" s="26"/>
      <c r="S57" s="11"/>
      <c r="T57" s="26"/>
      <c r="U57" s="26"/>
      <c r="V57" s="11"/>
      <c r="W57" s="26"/>
      <c r="X57" s="26"/>
      <c r="Y57" s="11"/>
      <c r="Z57" s="11"/>
      <c r="AA57" s="11"/>
      <c r="AB57" s="11"/>
      <c r="AC57" s="11"/>
      <c r="AD57" s="11"/>
    </row>
    <row r="58" spans="1:30" ht="15.75" customHeight="1" x14ac:dyDescent="0.25">
      <c r="A58" s="52"/>
      <c r="B58" s="25" t="s">
        <v>35</v>
      </c>
      <c r="C58" s="56">
        <f>Base!C58+(D58/10000)</f>
        <v>0.326351</v>
      </c>
      <c r="D58" s="68">
        <v>-100</v>
      </c>
      <c r="E58" s="25" t="s">
        <v>35</v>
      </c>
      <c r="F58" s="56">
        <f>Base!F58+(G58/10000)</f>
        <v>3.0761002666666697E-2</v>
      </c>
      <c r="G58" s="68">
        <v>-100</v>
      </c>
      <c r="H58" s="104"/>
      <c r="I58" s="110"/>
      <c r="J58" s="111"/>
      <c r="K58" s="25"/>
      <c r="L58" s="58"/>
      <c r="M58" s="11"/>
      <c r="N58" s="11"/>
      <c r="O58" s="58"/>
      <c r="P58" s="11"/>
      <c r="Q58" s="59"/>
      <c r="R58" s="26"/>
      <c r="S58" s="11"/>
      <c r="T58" s="26"/>
      <c r="U58" s="26"/>
      <c r="V58" s="11"/>
      <c r="W58" s="26"/>
      <c r="X58" s="26"/>
      <c r="Y58" s="11"/>
      <c r="Z58" s="11"/>
      <c r="AA58" s="11"/>
      <c r="AB58" s="11"/>
      <c r="AC58" s="11"/>
      <c r="AD58" s="11"/>
    </row>
    <row r="59" spans="1:30" ht="15.75" customHeight="1" x14ac:dyDescent="0.25">
      <c r="A59" s="52"/>
      <c r="B59" s="25" t="s">
        <v>36</v>
      </c>
      <c r="C59" s="56">
        <f>Base!C59+(D59/10000)</f>
        <v>0.326351</v>
      </c>
      <c r="D59" s="68">
        <v>-100</v>
      </c>
      <c r="E59" s="25" t="s">
        <v>36</v>
      </c>
      <c r="F59" s="56">
        <f>Base!F59+(G59/10000)</f>
        <v>3.2319801333333301E-2</v>
      </c>
      <c r="G59" s="68">
        <v>-100</v>
      </c>
      <c r="H59" s="104"/>
      <c r="I59" s="110"/>
      <c r="J59" s="111"/>
      <c r="K59" s="25"/>
      <c r="L59" s="58"/>
      <c r="M59" s="11"/>
      <c r="N59" s="11"/>
      <c r="O59" s="58"/>
      <c r="P59" s="11"/>
      <c r="Q59" s="59"/>
      <c r="R59" s="26"/>
      <c r="S59" s="11"/>
      <c r="T59" s="26"/>
      <c r="U59" s="26"/>
      <c r="V59" s="11"/>
      <c r="W59" s="26"/>
      <c r="X59" s="26"/>
      <c r="Y59" s="11"/>
      <c r="Z59" s="11"/>
      <c r="AA59" s="11"/>
      <c r="AB59" s="11"/>
      <c r="AC59" s="11"/>
      <c r="AD59" s="11"/>
    </row>
    <row r="60" spans="1:30" ht="15.75" customHeight="1" x14ac:dyDescent="0.25">
      <c r="A60" s="52"/>
      <c r="B60" s="25" t="s">
        <v>37</v>
      </c>
      <c r="C60" s="56">
        <f>Base!C60+(D60/10000)</f>
        <v>0.326351</v>
      </c>
      <c r="D60" s="68">
        <v>-100</v>
      </c>
      <c r="E60" s="25" t="s">
        <v>37</v>
      </c>
      <c r="F60" s="56">
        <f>Base!F60+(G60/10000)</f>
        <v>3.3878599999999995E-2</v>
      </c>
      <c r="G60" s="68">
        <v>-100</v>
      </c>
      <c r="H60" s="104"/>
      <c r="I60" s="110"/>
      <c r="J60" s="111"/>
      <c r="K60" s="25"/>
      <c r="L60" s="58"/>
      <c r="M60" s="11"/>
      <c r="N60" s="11"/>
      <c r="O60" s="11"/>
      <c r="P60" s="11"/>
      <c r="Q60" s="26"/>
      <c r="R60" s="26"/>
      <c r="S60" s="11"/>
      <c r="T60" s="26"/>
      <c r="U60" s="26"/>
      <c r="V60" s="11"/>
      <c r="W60" s="26"/>
      <c r="X60" s="26"/>
      <c r="Y60" s="11"/>
      <c r="Z60" s="11"/>
      <c r="AA60" s="11"/>
      <c r="AB60" s="11"/>
      <c r="AC60" s="11"/>
      <c r="AD60" s="11"/>
    </row>
    <row r="61" spans="1:30" ht="15.75" customHeight="1" x14ac:dyDescent="0.25">
      <c r="A61" s="52"/>
      <c r="B61" s="25" t="s">
        <v>38</v>
      </c>
      <c r="C61" s="56">
        <f>Base!C61+(D61/10000)</f>
        <v>0.326351</v>
      </c>
      <c r="D61" s="68">
        <v>-100</v>
      </c>
      <c r="E61" s="25" t="s">
        <v>38</v>
      </c>
      <c r="F61" s="56">
        <f>Base!F61+(G61/10000)</f>
        <v>3.4169023999999999E-2</v>
      </c>
      <c r="G61" s="68">
        <v>-100</v>
      </c>
      <c r="H61" s="104"/>
      <c r="I61" s="110"/>
      <c r="J61" s="111"/>
      <c r="K61" s="25"/>
      <c r="L61" s="58"/>
      <c r="M61" s="11"/>
      <c r="N61" s="11"/>
      <c r="O61" s="11"/>
      <c r="P61" s="11"/>
      <c r="Q61" s="26"/>
      <c r="R61" s="26"/>
      <c r="S61" s="11"/>
      <c r="T61" s="26"/>
      <c r="U61" s="26"/>
      <c r="V61" s="11"/>
      <c r="W61" s="26"/>
      <c r="X61" s="26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25" t="s">
        <v>39</v>
      </c>
      <c r="C62" s="56">
        <f>Base!C62+(D62/10000)</f>
        <v>0.326351</v>
      </c>
      <c r="D62" s="68">
        <v>-100</v>
      </c>
      <c r="E62" s="25" t="s">
        <v>39</v>
      </c>
      <c r="F62" s="56">
        <f>Base!F62+(G62/10000)</f>
        <v>3.4459447999999997E-2</v>
      </c>
      <c r="G62" s="68">
        <v>-100</v>
      </c>
      <c r="H62" s="104"/>
      <c r="I62" s="110"/>
      <c r="J62" s="111"/>
      <c r="K62" s="62"/>
      <c r="L62" s="58"/>
      <c r="M62" s="11"/>
      <c r="N62" s="11"/>
      <c r="O62" s="11"/>
      <c r="P62" s="11"/>
      <c r="Q62" s="26"/>
      <c r="R62" s="26"/>
      <c r="S62" s="11"/>
      <c r="T62" s="26"/>
      <c r="U62" s="26"/>
      <c r="V62" s="11"/>
      <c r="W62" s="26"/>
      <c r="X62" s="26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25" t="s">
        <v>40</v>
      </c>
      <c r="C63" s="56">
        <f>Base!C63+(D63/10000)</f>
        <v>0.326351</v>
      </c>
      <c r="D63" s="68">
        <v>-100</v>
      </c>
      <c r="E63" s="25" t="s">
        <v>40</v>
      </c>
      <c r="F63" s="56">
        <f>Base!F63+(G63/10000)</f>
        <v>3.4749872000000001E-2</v>
      </c>
      <c r="G63" s="68">
        <v>-100</v>
      </c>
      <c r="H63" s="104"/>
      <c r="I63" s="110"/>
      <c r="J63" s="111"/>
      <c r="K63" s="62"/>
      <c r="L63" s="58"/>
      <c r="M63" s="11"/>
      <c r="N63" s="11"/>
      <c r="O63" s="11"/>
      <c r="P63" s="11"/>
      <c r="Q63" s="26"/>
      <c r="R63" s="26"/>
      <c r="S63" s="11"/>
      <c r="T63" s="26"/>
      <c r="U63" s="26"/>
      <c r="V63" s="11"/>
      <c r="W63" s="26"/>
      <c r="X63" s="26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25" t="s">
        <v>41</v>
      </c>
      <c r="C64" s="56">
        <f>Base!C64+(D64/10000)</f>
        <v>0.326351</v>
      </c>
      <c r="D64" s="68">
        <v>-100</v>
      </c>
      <c r="E64" s="25" t="s">
        <v>41</v>
      </c>
      <c r="F64" s="56">
        <f>Base!F64+(G64/10000)</f>
        <v>3.5040295999999999E-2</v>
      </c>
      <c r="G64" s="68">
        <v>-100</v>
      </c>
      <c r="H64" s="104"/>
      <c r="I64" s="110"/>
      <c r="J64" s="111"/>
      <c r="K64" s="62"/>
      <c r="L64" s="58"/>
      <c r="M64" s="11"/>
      <c r="N64" s="11"/>
      <c r="O64" s="11"/>
      <c r="P64" s="11"/>
      <c r="Q64" s="26"/>
      <c r="R64" s="26"/>
      <c r="S64" s="11"/>
      <c r="T64" s="26"/>
      <c r="U64" s="26"/>
      <c r="V64" s="11"/>
      <c r="W64" s="26"/>
      <c r="X64" s="26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25" t="s">
        <v>42</v>
      </c>
      <c r="C65" s="56">
        <f>Base!C65+(D65/10000)</f>
        <v>0.326351</v>
      </c>
      <c r="D65" s="68">
        <v>-100</v>
      </c>
      <c r="E65" s="25" t="s">
        <v>42</v>
      </c>
      <c r="F65" s="56">
        <f>Base!F65+(G65/10000)</f>
        <v>3.5330719999999996E-2</v>
      </c>
      <c r="G65" s="68">
        <v>-100</v>
      </c>
      <c r="H65" s="104"/>
      <c r="I65" s="110"/>
      <c r="J65" s="1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25" t="s">
        <v>43</v>
      </c>
      <c r="C66" s="56">
        <f>Base!C66+(D66/10000)</f>
        <v>0.326351</v>
      </c>
      <c r="D66" s="68">
        <v>-100</v>
      </c>
      <c r="E66" s="25" t="s">
        <v>43</v>
      </c>
      <c r="F66" s="56">
        <f>Base!F66+(G66/10000)</f>
        <v>3.5330719999999996E-2</v>
      </c>
      <c r="G66" s="68">
        <v>-100</v>
      </c>
      <c r="H66" s="104"/>
      <c r="I66" s="110"/>
      <c r="J66" s="1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25" t="s">
        <v>44</v>
      </c>
      <c r="C67" s="56">
        <f>Base!C67+(D67/10000)</f>
        <v>0.326351</v>
      </c>
      <c r="D67" s="68">
        <v>-100</v>
      </c>
      <c r="E67" s="25" t="s">
        <v>44</v>
      </c>
      <c r="F67" s="56">
        <f>Base!F67+(G67/10000)</f>
        <v>3.5330719999999996E-2</v>
      </c>
      <c r="G67" s="68">
        <v>-100</v>
      </c>
      <c r="H67" s="104"/>
      <c r="I67" s="110"/>
      <c r="J67" s="1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25" t="s">
        <v>45</v>
      </c>
      <c r="C68" s="56">
        <f>Base!C68+(D68/10000)</f>
        <v>0.326351</v>
      </c>
      <c r="D68" s="68">
        <v>-100</v>
      </c>
      <c r="E68" s="25" t="s">
        <v>45</v>
      </c>
      <c r="F68" s="56">
        <f>Base!F68+(G68/10000)</f>
        <v>3.5330719999999996E-2</v>
      </c>
      <c r="G68" s="68">
        <v>-100</v>
      </c>
      <c r="H68" s="104"/>
      <c r="I68" s="110"/>
      <c r="J68" s="1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25" t="s">
        <v>46</v>
      </c>
      <c r="C69" s="56">
        <f>Base!C69+(D69/10000)</f>
        <v>0.326351</v>
      </c>
      <c r="D69" s="68">
        <v>-100</v>
      </c>
      <c r="E69" s="25" t="s">
        <v>46</v>
      </c>
      <c r="F69" s="56">
        <f>Base!F69+(G69/10000)</f>
        <v>3.5330719999999996E-2</v>
      </c>
      <c r="G69" s="68">
        <v>-100</v>
      </c>
      <c r="H69" s="104"/>
      <c r="I69" s="110"/>
      <c r="J69" s="1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25" t="s">
        <v>47</v>
      </c>
      <c r="C70" s="56">
        <f>Base!C70+(D70/10000)</f>
        <v>0.326351</v>
      </c>
      <c r="D70" s="68">
        <v>-100</v>
      </c>
      <c r="E70" s="25" t="s">
        <v>47</v>
      </c>
      <c r="F70" s="56">
        <f>Base!F70+(G70/10000)</f>
        <v>3.5330719999999996E-2</v>
      </c>
      <c r="G70" s="68">
        <v>-100</v>
      </c>
      <c r="H70" s="104"/>
      <c r="I70" s="110"/>
      <c r="J70" s="1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63"/>
      <c r="G125" s="63"/>
      <c r="H125" s="63"/>
      <c r="I125" s="63"/>
      <c r="J125" s="63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63"/>
      <c r="G126" s="63"/>
      <c r="H126" s="63"/>
      <c r="I126" s="63"/>
      <c r="J126" s="63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/>
    <row r="263" spans="1:30" ht="15.75" customHeight="1" x14ac:dyDescent="0.25"/>
    <row r="264" spans="1:30" ht="15.75" customHeight="1" x14ac:dyDescent="0.25"/>
    <row r="265" spans="1:30" ht="15.75" customHeight="1" x14ac:dyDescent="0.25"/>
    <row r="266" spans="1:30" ht="15.75" customHeight="1" x14ac:dyDescent="0.25"/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29:F29">
    <cfRule type="cellIs" dxfId="19" priority="1" operator="equal">
      <formula>"TRUE"</formula>
    </cfRule>
  </conditionalFormatting>
  <conditionalFormatting sqref="C10:H10">
    <cfRule type="cellIs" dxfId="18" priority="2" operator="equal">
      <formula>"TRUE"</formula>
    </cfRule>
  </conditionalFormatting>
  <conditionalFormatting sqref="G28:H28 J28:N28">
    <cfRule type="cellIs" dxfId="17" priority="3" operator="equal">
      <formula>"TRUE"</formula>
    </cfRule>
  </conditionalFormatting>
  <conditionalFormatting sqref="K10:N10">
    <cfRule type="cellIs" dxfId="16" priority="4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1000"/>
  <sheetViews>
    <sheetView showGridLines="0" topLeftCell="A34" workbookViewId="0">
      <selection activeCell="H42" sqref="H42:J70"/>
    </sheetView>
  </sheetViews>
  <sheetFormatPr baseColWidth="10" defaultColWidth="12.6328125" defaultRowHeight="15" customHeight="1" x14ac:dyDescent="0.25"/>
  <cols>
    <col min="1" max="1" width="32.453125" customWidth="1"/>
    <col min="2" max="3" width="10.453125" customWidth="1"/>
    <col min="4" max="4" width="6.90625" customWidth="1"/>
    <col min="5" max="6" width="10.453125" customWidth="1"/>
    <col min="7" max="7" width="6.90625" customWidth="1"/>
    <col min="8" max="9" width="10.453125" customWidth="1"/>
    <col min="10" max="10" width="6.90625" customWidth="1"/>
    <col min="11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30" width="23.08984375" customWidth="1"/>
  </cols>
  <sheetData>
    <row r="1" spans="1:30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  <c r="AD5" s="11"/>
    </row>
    <row r="6" spans="1:30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  <c r="AD6" s="11"/>
    </row>
    <row r="7" spans="1:30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" x14ac:dyDescent="0.25">
      <c r="A8" s="69"/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2"/>
      <c r="Y8" s="72"/>
      <c r="Z8" s="72"/>
      <c r="AA8" s="72"/>
      <c r="AB8" s="72"/>
      <c r="AC8" s="72"/>
      <c r="AD8" s="72"/>
    </row>
    <row r="9" spans="1:30" ht="14" x14ac:dyDescent="0.25">
      <c r="A9" s="33"/>
      <c r="B9" s="28"/>
      <c r="C9" s="29"/>
      <c r="D9" s="29"/>
      <c r="E9" s="29"/>
      <c r="F9" s="29"/>
      <c r="G9" s="30"/>
      <c r="H9" s="30"/>
      <c r="I9" s="31"/>
      <c r="J9" s="28"/>
      <c r="K9" s="29"/>
      <c r="L9" s="29"/>
      <c r="M9" s="29"/>
      <c r="N9" s="29"/>
      <c r="O9" s="36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  <c r="AD9" s="38"/>
    </row>
    <row r="10" spans="1:30" ht="14" x14ac:dyDescent="0.3">
      <c r="A10" s="33"/>
      <c r="B10" s="34"/>
      <c r="C10" s="35"/>
      <c r="D10" s="35"/>
      <c r="E10" s="35"/>
      <c r="F10" s="35"/>
      <c r="G10" s="35"/>
      <c r="H10" s="35"/>
      <c r="I10" s="31"/>
      <c r="J10" s="34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  <c r="AD10" s="38"/>
    </row>
    <row r="11" spans="1:30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  <c r="AD11" s="38"/>
    </row>
    <row r="12" spans="1:30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  <c r="AD12" s="38"/>
    </row>
    <row r="13" spans="1:30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  <c r="AD13" s="38"/>
    </row>
    <row r="14" spans="1:30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  <c r="AD14" s="38"/>
    </row>
    <row r="15" spans="1:30" ht="14" x14ac:dyDescent="0.25">
      <c r="A15" s="33"/>
      <c r="B15" s="31"/>
      <c r="C15" s="36"/>
      <c r="D15" s="36"/>
      <c r="E15" s="36"/>
      <c r="F15" s="36"/>
      <c r="G15" s="36"/>
      <c r="H15" s="36"/>
      <c r="I15" s="31"/>
      <c r="J15" s="31"/>
      <c r="K15" s="36"/>
      <c r="L15" s="36"/>
      <c r="M15" s="36"/>
      <c r="N15" s="36"/>
      <c r="O15" s="39"/>
      <c r="P15" s="39"/>
      <c r="Q15" s="39"/>
      <c r="R15" s="39"/>
      <c r="S15" s="39"/>
      <c r="T15" s="39"/>
      <c r="U15" s="39"/>
      <c r="V15" s="39"/>
      <c r="W15" s="39"/>
      <c r="X15" s="40"/>
      <c r="Y15" s="40"/>
      <c r="Z15" s="40"/>
      <c r="AA15" s="40"/>
      <c r="AB15" s="40"/>
      <c r="AC15" s="40"/>
      <c r="AD15" s="40"/>
    </row>
    <row r="16" spans="1:30" ht="14" x14ac:dyDescent="0.25">
      <c r="A16" s="33"/>
      <c r="B16" s="31"/>
      <c r="C16" s="36"/>
      <c r="D16" s="36"/>
      <c r="E16" s="36"/>
      <c r="F16" s="36"/>
      <c r="G16" s="39"/>
      <c r="H16" s="39"/>
      <c r="I16" s="31"/>
      <c r="J16" s="31"/>
      <c r="K16" s="36"/>
      <c r="L16" s="36"/>
      <c r="M16" s="36"/>
      <c r="N16" s="36"/>
      <c r="O16" s="30"/>
      <c r="P16" s="30"/>
      <c r="Q16" s="30"/>
      <c r="R16" s="30"/>
      <c r="S16" s="30"/>
      <c r="T16" s="30"/>
      <c r="U16" s="30"/>
      <c r="V16" s="30"/>
      <c r="W16" s="30"/>
      <c r="X16" s="32"/>
      <c r="Y16" s="32"/>
      <c r="Z16" s="32"/>
      <c r="AA16" s="32"/>
      <c r="AB16" s="32"/>
      <c r="AC16" s="32"/>
      <c r="AD16" s="32"/>
    </row>
    <row r="17" spans="1:30" ht="14" x14ac:dyDescent="0.25">
      <c r="A17" s="41"/>
      <c r="B17" s="31"/>
      <c r="C17" s="36"/>
      <c r="D17" s="36"/>
      <c r="E17" s="36"/>
      <c r="F17" s="36"/>
      <c r="G17" s="30"/>
      <c r="H17" s="30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0"/>
      <c r="Y17" s="40"/>
      <c r="Z17" s="40"/>
      <c r="AA17" s="40"/>
      <c r="AB17" s="40"/>
      <c r="AC17" s="40"/>
      <c r="AD17" s="40"/>
    </row>
    <row r="18" spans="1:30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0"/>
      <c r="Y18" s="40"/>
      <c r="Z18" s="40"/>
      <c r="AA18" s="40"/>
      <c r="AB18" s="40"/>
      <c r="AC18" s="40"/>
      <c r="AD18" s="40"/>
    </row>
    <row r="19" spans="1:30" ht="14" x14ac:dyDescent="0.25">
      <c r="A19" s="40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0"/>
      <c r="Y19" s="40"/>
      <c r="Z19" s="40"/>
      <c r="AA19" s="40"/>
      <c r="AB19" s="40"/>
      <c r="AC19" s="40"/>
      <c r="AD19" s="40"/>
    </row>
    <row r="20" spans="1:30" ht="14" x14ac:dyDescent="0.25">
      <c r="A20" s="40"/>
      <c r="B20" s="31"/>
      <c r="C20" s="36"/>
      <c r="D20" s="36"/>
      <c r="E20" s="36"/>
      <c r="F20" s="36"/>
      <c r="G20" s="36"/>
      <c r="H20" s="36"/>
      <c r="I20" s="31"/>
      <c r="J20" s="31"/>
      <c r="K20" s="36"/>
      <c r="L20" s="36"/>
      <c r="M20" s="36"/>
      <c r="N20" s="36"/>
      <c r="O20" s="42"/>
      <c r="P20" s="42"/>
      <c r="Q20" s="42"/>
      <c r="R20" s="42"/>
      <c r="S20" s="42"/>
      <c r="T20" s="42"/>
      <c r="U20" s="42"/>
      <c r="V20" s="42"/>
      <c r="W20" s="42"/>
      <c r="X20" s="40"/>
      <c r="Y20" s="40"/>
      <c r="Z20" s="40"/>
      <c r="AA20" s="40"/>
      <c r="AB20" s="40"/>
      <c r="AC20" s="40"/>
      <c r="AD20" s="40"/>
    </row>
    <row r="21" spans="1:30" ht="15.75" customHeight="1" x14ac:dyDescent="0.25">
      <c r="A21" s="40"/>
      <c r="B21" s="31"/>
      <c r="C21" s="31"/>
      <c r="D21" s="31"/>
      <c r="E21" s="31"/>
      <c r="F21" s="31"/>
      <c r="G21" s="36"/>
      <c r="H21" s="36"/>
      <c r="I21" s="31"/>
      <c r="J21" s="31"/>
      <c r="K21" s="36"/>
      <c r="L21" s="36"/>
      <c r="M21" s="36"/>
      <c r="N21" s="36"/>
      <c r="O21" s="42"/>
      <c r="P21" s="42"/>
      <c r="Q21" s="42"/>
      <c r="R21" s="42"/>
      <c r="S21" s="42"/>
      <c r="T21" s="42"/>
      <c r="U21" s="42"/>
      <c r="V21" s="42"/>
      <c r="W21" s="42"/>
      <c r="X21" s="40"/>
      <c r="Y21" s="40"/>
      <c r="Z21" s="40"/>
      <c r="AA21" s="40"/>
      <c r="AB21" s="40"/>
      <c r="AC21" s="40"/>
      <c r="AD21" s="40"/>
    </row>
    <row r="22" spans="1:30" ht="15.75" customHeight="1" x14ac:dyDescent="0.3">
      <c r="A22" s="40"/>
      <c r="B22" s="31"/>
      <c r="C22" s="29"/>
      <c r="D22" s="29"/>
      <c r="E22" s="29"/>
      <c r="F22" s="29"/>
      <c r="G22" s="35"/>
      <c r="H22" s="35"/>
      <c r="I22" s="31"/>
      <c r="J22" s="31"/>
      <c r="K22" s="36"/>
      <c r="L22" s="36"/>
      <c r="M22" s="36"/>
      <c r="N22" s="36"/>
      <c r="O22" s="42"/>
      <c r="P22" s="42"/>
      <c r="Q22" s="42"/>
      <c r="R22" s="42"/>
      <c r="S22" s="42"/>
      <c r="T22" s="42"/>
      <c r="U22" s="42"/>
      <c r="V22" s="42"/>
      <c r="W22" s="42"/>
      <c r="X22" s="40"/>
      <c r="Y22" s="40"/>
      <c r="Z22" s="40"/>
      <c r="AA22" s="40"/>
      <c r="AB22" s="40"/>
      <c r="AC22" s="40"/>
      <c r="AD22" s="40"/>
    </row>
    <row r="23" spans="1:30" ht="15.75" customHeight="1" x14ac:dyDescent="0.3">
      <c r="A23" s="40"/>
      <c r="B23" s="31"/>
      <c r="C23" s="29"/>
      <c r="D23" s="29"/>
      <c r="E23" s="29"/>
      <c r="F23" s="29"/>
      <c r="G23" s="35"/>
      <c r="H23" s="35"/>
      <c r="I23" s="31"/>
      <c r="J23" s="31"/>
      <c r="K23" s="36"/>
      <c r="L23" s="36"/>
      <c r="M23" s="36"/>
      <c r="N23" s="36"/>
      <c r="O23" s="42"/>
      <c r="P23" s="42"/>
      <c r="Q23" s="42"/>
      <c r="R23" s="42"/>
      <c r="S23" s="42"/>
      <c r="T23" s="42"/>
      <c r="U23" s="42"/>
      <c r="V23" s="42"/>
      <c r="W23" s="42"/>
      <c r="X23" s="40"/>
      <c r="Y23" s="40"/>
      <c r="Z23" s="40"/>
      <c r="AA23" s="40"/>
      <c r="AB23" s="40"/>
      <c r="AC23" s="40"/>
      <c r="AD23" s="40"/>
    </row>
    <row r="24" spans="1:30" ht="15.75" customHeight="1" x14ac:dyDescent="0.3">
      <c r="A24" s="40"/>
      <c r="B24" s="31"/>
      <c r="C24" s="29"/>
      <c r="D24" s="29"/>
      <c r="E24" s="29"/>
      <c r="F24" s="29"/>
      <c r="G24" s="35"/>
      <c r="H24" s="35"/>
      <c r="I24" s="31"/>
      <c r="J24" s="31"/>
      <c r="K24" s="36"/>
      <c r="L24" s="36"/>
      <c r="M24" s="36"/>
      <c r="N24" s="36"/>
      <c r="O24" s="42"/>
      <c r="P24" s="42"/>
      <c r="Q24" s="42"/>
      <c r="R24" s="42"/>
      <c r="S24" s="42"/>
      <c r="T24" s="42"/>
      <c r="U24" s="42"/>
      <c r="V24" s="42"/>
      <c r="W24" s="42"/>
      <c r="X24" s="40"/>
      <c r="Y24" s="40"/>
      <c r="Z24" s="40"/>
      <c r="AA24" s="40"/>
      <c r="AB24" s="40"/>
      <c r="AC24" s="40"/>
      <c r="AD24" s="40"/>
    </row>
    <row r="25" spans="1:30" ht="15.75" customHeight="1" x14ac:dyDescent="0.3">
      <c r="A25" s="40"/>
      <c r="B25" s="31"/>
      <c r="C25" s="29"/>
      <c r="D25" s="29"/>
      <c r="E25" s="29"/>
      <c r="F25" s="29"/>
      <c r="G25" s="35"/>
      <c r="H25" s="35"/>
      <c r="I25" s="31"/>
      <c r="J25" s="31"/>
      <c r="K25" s="36"/>
      <c r="L25" s="36"/>
      <c r="M25" s="36"/>
      <c r="N25" s="36"/>
      <c r="O25" s="42"/>
      <c r="P25" s="42"/>
      <c r="Q25" s="42"/>
      <c r="R25" s="42"/>
      <c r="S25" s="42"/>
      <c r="T25" s="42"/>
      <c r="U25" s="42"/>
      <c r="V25" s="42"/>
      <c r="W25" s="42"/>
      <c r="X25" s="40"/>
      <c r="Y25" s="40"/>
      <c r="Z25" s="40"/>
      <c r="AA25" s="40"/>
      <c r="AB25" s="40"/>
      <c r="AC25" s="40"/>
      <c r="AD25" s="40"/>
    </row>
    <row r="26" spans="1:30" ht="15.75" customHeight="1" x14ac:dyDescent="0.3">
      <c r="A26" s="40"/>
      <c r="B26" s="31"/>
      <c r="C26" s="29"/>
      <c r="D26" s="29"/>
      <c r="E26" s="29"/>
      <c r="F26" s="29"/>
      <c r="G26" s="35"/>
      <c r="H26" s="35"/>
      <c r="I26" s="31"/>
      <c r="J26" s="31"/>
      <c r="K26" s="36"/>
      <c r="L26" s="36"/>
      <c r="M26" s="36"/>
      <c r="N26" s="36"/>
      <c r="O26" s="42"/>
      <c r="P26" s="42"/>
      <c r="Q26" s="42"/>
      <c r="R26" s="42"/>
      <c r="S26" s="42"/>
      <c r="T26" s="42"/>
      <c r="U26" s="42"/>
      <c r="V26" s="42"/>
      <c r="W26" s="42"/>
      <c r="X26" s="40"/>
      <c r="Y26" s="40"/>
      <c r="Z26" s="40"/>
      <c r="AA26" s="40"/>
      <c r="AB26" s="40"/>
      <c r="AC26" s="40"/>
      <c r="AD26" s="40"/>
    </row>
    <row r="27" spans="1:30" ht="15.75" customHeight="1" x14ac:dyDescent="0.3">
      <c r="A27" s="40"/>
      <c r="B27" s="31"/>
      <c r="C27" s="29"/>
      <c r="D27" s="29"/>
      <c r="E27" s="29"/>
      <c r="F27" s="29"/>
      <c r="G27" s="35"/>
      <c r="H27" s="35"/>
      <c r="I27" s="31"/>
      <c r="J27" s="31"/>
      <c r="K27" s="36"/>
      <c r="L27" s="36"/>
      <c r="M27" s="36"/>
      <c r="N27" s="36"/>
      <c r="O27" s="42"/>
      <c r="P27" s="42"/>
      <c r="Q27" s="42"/>
      <c r="R27" s="42"/>
      <c r="S27" s="42"/>
      <c r="T27" s="42"/>
      <c r="U27" s="42"/>
      <c r="V27" s="42"/>
      <c r="W27" s="42"/>
      <c r="X27" s="40"/>
      <c r="Y27" s="40"/>
      <c r="Z27" s="40"/>
      <c r="AA27" s="40"/>
      <c r="AB27" s="40"/>
      <c r="AC27" s="40"/>
      <c r="AD27" s="40"/>
    </row>
    <row r="28" spans="1:30" ht="15.75" customHeight="1" x14ac:dyDescent="0.3">
      <c r="A28" s="40"/>
      <c r="B28" s="31"/>
      <c r="C28" s="29"/>
      <c r="D28" s="29"/>
      <c r="E28" s="29"/>
      <c r="F28" s="29"/>
      <c r="G28" s="35"/>
      <c r="H28" s="35"/>
      <c r="I28" s="31"/>
      <c r="J28" s="31"/>
      <c r="K28" s="36"/>
      <c r="L28" s="36"/>
      <c r="M28" s="36"/>
      <c r="N28" s="36"/>
      <c r="O28" s="42"/>
      <c r="P28" s="42"/>
      <c r="Q28" s="42"/>
      <c r="R28" s="42"/>
      <c r="S28" s="42"/>
      <c r="T28" s="42"/>
      <c r="U28" s="42"/>
      <c r="V28" s="42"/>
      <c r="W28" s="42"/>
      <c r="X28" s="40"/>
      <c r="Y28" s="40"/>
      <c r="Z28" s="40"/>
      <c r="AA28" s="40"/>
      <c r="AB28" s="40"/>
      <c r="AC28" s="40"/>
      <c r="AD28" s="40"/>
    </row>
    <row r="29" spans="1:30" ht="15.75" customHeight="1" x14ac:dyDescent="0.3">
      <c r="A29" s="40"/>
      <c r="B29" s="34"/>
      <c r="C29" s="35"/>
      <c r="D29" s="35"/>
      <c r="E29" s="35"/>
      <c r="F29" s="35"/>
      <c r="G29" s="42"/>
      <c r="H29" s="42"/>
      <c r="I29" s="31"/>
      <c r="J29" s="31"/>
      <c r="K29" s="36"/>
      <c r="L29" s="36"/>
      <c r="M29" s="36"/>
      <c r="N29" s="3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0"/>
      <c r="AB29" s="40"/>
      <c r="AC29" s="40"/>
      <c r="AD29" s="40"/>
    </row>
    <row r="30" spans="1:30" ht="15.75" customHeight="1" x14ac:dyDescent="0.25">
      <c r="A30" s="40"/>
      <c r="B30" s="31"/>
      <c r="C30" s="42"/>
      <c r="D30" s="42"/>
      <c r="E30" s="42"/>
      <c r="F30" s="42"/>
      <c r="G30" s="42"/>
      <c r="H30" s="42"/>
      <c r="I30" s="31"/>
      <c r="J30" s="31"/>
      <c r="K30" s="36"/>
      <c r="L30" s="36"/>
      <c r="M30" s="36"/>
      <c r="N30" s="36"/>
      <c r="O30" s="30"/>
      <c r="P30" s="30"/>
      <c r="Q30" s="30"/>
      <c r="R30" s="30"/>
      <c r="S30" s="30"/>
      <c r="T30" s="30"/>
      <c r="U30" s="30"/>
      <c r="V30" s="30"/>
      <c r="W30" s="30"/>
      <c r="X30" s="43"/>
      <c r="Y30" s="43"/>
      <c r="Z30" s="43"/>
      <c r="AA30" s="40"/>
      <c r="AB30" s="40"/>
      <c r="AC30" s="40"/>
      <c r="AD30" s="40"/>
    </row>
    <row r="31" spans="1:30" ht="15.75" customHeight="1" x14ac:dyDescent="0.25">
      <c r="A31" s="40"/>
      <c r="B31" s="31"/>
      <c r="C31" s="42"/>
      <c r="D31" s="42"/>
      <c r="E31" s="42"/>
      <c r="F31" s="42"/>
      <c r="G31" s="43"/>
      <c r="H31" s="43"/>
      <c r="I31" s="43"/>
      <c r="J31" s="43"/>
      <c r="K31" s="43"/>
      <c r="L31" s="43"/>
      <c r="M31" s="43"/>
      <c r="N31" s="43"/>
      <c r="O31" s="42"/>
      <c r="P31" s="42"/>
      <c r="Q31" s="42"/>
      <c r="R31" s="42"/>
      <c r="S31" s="42"/>
      <c r="T31" s="42"/>
      <c r="U31" s="42"/>
      <c r="V31" s="42"/>
      <c r="W31" s="42"/>
      <c r="X31" s="43"/>
      <c r="Y31" s="43"/>
      <c r="Z31" s="43"/>
      <c r="AA31" s="40"/>
      <c r="AB31" s="40"/>
      <c r="AC31" s="40"/>
      <c r="AD31" s="40"/>
    </row>
    <row r="32" spans="1:30" ht="15.75" customHeight="1" x14ac:dyDescent="0.25">
      <c r="A32" s="40"/>
      <c r="B32" s="29"/>
      <c r="C32" s="36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3"/>
      <c r="Y32" s="43"/>
      <c r="Z32" s="43"/>
      <c r="AA32" s="40"/>
      <c r="AB32" s="40"/>
      <c r="AC32" s="40"/>
      <c r="AD32" s="40"/>
    </row>
    <row r="33" spans="1:30" ht="15.75" customHeight="1" x14ac:dyDescent="0.25">
      <c r="A33" s="40"/>
      <c r="B33" s="2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43"/>
      <c r="Y33" s="43"/>
      <c r="Z33" s="43"/>
      <c r="AA33" s="40"/>
      <c r="AB33" s="40"/>
      <c r="AC33" s="40"/>
      <c r="AD33" s="40"/>
    </row>
    <row r="34" spans="1:30" ht="15.75" customHeight="1" x14ac:dyDescent="0.25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9"/>
      <c r="Y34" s="49"/>
      <c r="Z34" s="49"/>
      <c r="AA34" s="45"/>
      <c r="AB34" s="45"/>
      <c r="AC34" s="45"/>
      <c r="AD34" s="45"/>
    </row>
    <row r="35" spans="1:30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  <c r="AD35" s="45"/>
    </row>
    <row r="36" spans="1:30" ht="15.75" customHeight="1" x14ac:dyDescent="0.25">
      <c r="A36" s="45"/>
      <c r="B36" s="50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1"/>
      <c r="Y36" s="51"/>
      <c r="Z36" s="51"/>
      <c r="AA36" s="51"/>
      <c r="AB36" s="51"/>
      <c r="AC36" s="51"/>
      <c r="AD36" s="51"/>
    </row>
    <row r="37" spans="1:30" ht="15.75" customHeight="1" x14ac:dyDescent="0.25">
      <c r="A37" s="1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1"/>
      <c r="AB37" s="11"/>
      <c r="AC37" s="11"/>
      <c r="AD37" s="11"/>
    </row>
    <row r="38" spans="1:30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  <c r="AD38" s="11"/>
    </row>
    <row r="39" spans="1:30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  <c r="AD39" s="11"/>
    </row>
    <row r="40" spans="1:30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53" t="s">
        <v>50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11"/>
      <c r="L42" s="55"/>
      <c r="M42" s="11"/>
      <c r="N42" s="11"/>
      <c r="O42" s="55"/>
      <c r="P42" s="11"/>
      <c r="Q42" s="11"/>
      <c r="R42" s="55"/>
      <c r="S42" s="11"/>
      <c r="T42" s="11"/>
      <c r="U42" s="55"/>
      <c r="V42" s="11"/>
      <c r="W42" s="11"/>
      <c r="X42" s="55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21" t="s">
        <v>20</v>
      </c>
      <c r="C43" s="56">
        <f>Base!C43+(D43/10000)</f>
        <v>0.57035080000000005</v>
      </c>
      <c r="D43" s="68">
        <v>200</v>
      </c>
      <c r="E43" s="21" t="s">
        <v>20</v>
      </c>
      <c r="F43" s="56">
        <f>Base!F43+(G43/10000)</f>
        <v>6.5717040000000004E-2</v>
      </c>
      <c r="G43" s="68">
        <v>200</v>
      </c>
      <c r="H43" s="100"/>
      <c r="I43" s="110"/>
      <c r="J43" s="111"/>
      <c r="K43" s="11"/>
      <c r="L43" s="58"/>
      <c r="M43" s="11"/>
      <c r="N43" s="11"/>
      <c r="O43" s="58"/>
      <c r="P43" s="11"/>
      <c r="Q43" s="59"/>
      <c r="R43" s="26"/>
      <c r="S43" s="11"/>
      <c r="T43" s="26"/>
      <c r="U43" s="26"/>
      <c r="V43" s="11"/>
      <c r="W43" s="26"/>
      <c r="X43" s="26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21" t="s">
        <v>21</v>
      </c>
      <c r="C44" s="56">
        <f>Base!C44+(D44/10000)</f>
        <v>0.55446070000000003</v>
      </c>
      <c r="D44" s="68">
        <v>200</v>
      </c>
      <c r="E44" s="21" t="s">
        <v>21</v>
      </c>
      <c r="F44" s="56">
        <f>Base!F44+(G44/10000)</f>
        <v>6.5654550000000006E-2</v>
      </c>
      <c r="G44" s="68">
        <v>200</v>
      </c>
      <c r="H44" s="100"/>
      <c r="I44" s="110"/>
      <c r="J44" s="111"/>
      <c r="K44" s="11"/>
      <c r="L44" s="58"/>
      <c r="M44" s="11"/>
      <c r="N44" s="11"/>
      <c r="O44" s="58"/>
      <c r="P44" s="11"/>
      <c r="Q44" s="59"/>
      <c r="R44" s="26"/>
      <c r="S44" s="11"/>
      <c r="T44" s="26"/>
      <c r="U44" s="26"/>
      <c r="V44" s="11"/>
      <c r="W44" s="26"/>
      <c r="X44" s="26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21" t="s">
        <v>22</v>
      </c>
      <c r="C45" s="56">
        <f>Base!C45+(D45/10000)</f>
        <v>0.53216413333333301</v>
      </c>
      <c r="D45" s="68">
        <v>200</v>
      </c>
      <c r="E45" s="21" t="s">
        <v>22</v>
      </c>
      <c r="F45" s="56">
        <f>Base!F45+(G45/10000)</f>
        <v>6.5585400000000002E-2</v>
      </c>
      <c r="G45" s="68">
        <v>200</v>
      </c>
      <c r="H45" s="100"/>
      <c r="I45" s="110"/>
      <c r="J45" s="111"/>
      <c r="K45" s="11"/>
      <c r="L45" s="58"/>
      <c r="M45" s="11"/>
      <c r="N45" s="11"/>
      <c r="O45" s="58"/>
      <c r="P45" s="11"/>
      <c r="Q45" s="59"/>
      <c r="R45" s="26"/>
      <c r="S45" s="11"/>
      <c r="T45" s="26"/>
      <c r="U45" s="26"/>
      <c r="V45" s="11"/>
      <c r="W45" s="26"/>
      <c r="X45" s="26"/>
      <c r="Y45" s="11"/>
      <c r="Z45" s="11"/>
      <c r="AA45" s="11"/>
      <c r="AB45" s="11"/>
      <c r="AC45" s="11"/>
      <c r="AD45" s="11"/>
    </row>
    <row r="46" spans="1:30" ht="15.75" customHeight="1" x14ac:dyDescent="0.25">
      <c r="A46" s="60"/>
      <c r="B46" s="21" t="s">
        <v>23</v>
      </c>
      <c r="C46" s="56">
        <f>Base!C46+(D46/10000)</f>
        <v>0.50788369999999994</v>
      </c>
      <c r="D46" s="68">
        <v>200</v>
      </c>
      <c r="E46" s="21" t="s">
        <v>23</v>
      </c>
      <c r="F46" s="56">
        <f>Base!F46+(G46/10000)</f>
        <v>6.5516249999999998E-2</v>
      </c>
      <c r="G46" s="68">
        <v>200</v>
      </c>
      <c r="H46" s="100"/>
      <c r="I46" s="110"/>
      <c r="J46" s="111"/>
      <c r="K46" s="11"/>
      <c r="L46" s="58"/>
      <c r="M46" s="11"/>
      <c r="N46" s="11"/>
      <c r="O46" s="58"/>
      <c r="P46" s="11"/>
      <c r="Q46" s="59"/>
      <c r="R46" s="26"/>
      <c r="S46" s="11"/>
      <c r="T46" s="26"/>
      <c r="U46" s="26"/>
      <c r="V46" s="11"/>
      <c r="W46" s="26"/>
      <c r="X46" s="26"/>
      <c r="Y46" s="11"/>
      <c r="Z46" s="11"/>
      <c r="AA46" s="11"/>
      <c r="AB46" s="11"/>
      <c r="AC46" s="11"/>
      <c r="AD46" s="11"/>
    </row>
    <row r="47" spans="1:30" ht="15.75" customHeight="1" x14ac:dyDescent="0.25">
      <c r="A47" s="60"/>
      <c r="B47" s="25" t="s">
        <v>24</v>
      </c>
      <c r="C47" s="56">
        <f>Base!C47+(D47/10000)</f>
        <v>0.417982359459459</v>
      </c>
      <c r="D47" s="68">
        <v>200</v>
      </c>
      <c r="E47" s="25" t="s">
        <v>24</v>
      </c>
      <c r="F47" s="56">
        <f>Base!F47+(G47/10000)</f>
        <v>5.7316850000000003E-2</v>
      </c>
      <c r="G47" s="68">
        <v>200</v>
      </c>
      <c r="H47" s="104"/>
      <c r="I47" s="110"/>
      <c r="J47" s="111"/>
      <c r="K47" s="11"/>
      <c r="L47" s="58"/>
      <c r="M47" s="11"/>
      <c r="N47" s="11"/>
      <c r="O47" s="58"/>
      <c r="P47" s="11"/>
      <c r="Q47" s="59"/>
      <c r="R47" s="26"/>
      <c r="S47" s="11"/>
      <c r="T47" s="26"/>
      <c r="U47" s="26"/>
      <c r="V47" s="11"/>
      <c r="W47" s="26"/>
      <c r="X47" s="26"/>
      <c r="Y47" s="11"/>
      <c r="Z47" s="11"/>
      <c r="AA47" s="11"/>
      <c r="AB47" s="11"/>
      <c r="AC47" s="11"/>
      <c r="AD47" s="11"/>
    </row>
    <row r="48" spans="1:30" ht="15.75" customHeight="1" x14ac:dyDescent="0.25">
      <c r="A48" s="60"/>
      <c r="B48" s="25" t="s">
        <v>25</v>
      </c>
      <c r="C48" s="56">
        <f>Base!C48+(D48/10000)</f>
        <v>0.35635100000000003</v>
      </c>
      <c r="D48" s="68">
        <v>200</v>
      </c>
      <c r="E48" s="25" t="s">
        <v>25</v>
      </c>
      <c r="F48" s="56">
        <f>Base!F48+(G48/10000)</f>
        <v>5.6322339999999999E-2</v>
      </c>
      <c r="G48" s="68">
        <v>200</v>
      </c>
      <c r="H48" s="104"/>
      <c r="I48" s="110"/>
      <c r="J48" s="111"/>
      <c r="K48" s="11"/>
      <c r="L48" s="58"/>
      <c r="M48" s="11"/>
      <c r="N48" s="11"/>
      <c r="O48" s="58"/>
      <c r="P48" s="11"/>
      <c r="Q48" s="59"/>
      <c r="R48" s="26"/>
      <c r="S48" s="11"/>
      <c r="T48" s="26"/>
      <c r="U48" s="26"/>
      <c r="V48" s="11"/>
      <c r="W48" s="26"/>
      <c r="X48" s="26"/>
      <c r="Y48" s="11"/>
      <c r="Z48" s="11"/>
      <c r="AA48" s="11"/>
      <c r="AB48" s="11"/>
      <c r="AC48" s="11"/>
      <c r="AD48" s="11"/>
    </row>
    <row r="49" spans="1:30" ht="15.75" customHeight="1" x14ac:dyDescent="0.25">
      <c r="A49" s="60"/>
      <c r="B49" s="25" t="s">
        <v>26</v>
      </c>
      <c r="C49" s="56">
        <f>Base!C49+(D49/10000)</f>
        <v>0.35635100000000003</v>
      </c>
      <c r="D49" s="68">
        <v>200</v>
      </c>
      <c r="E49" s="25" t="s">
        <v>26</v>
      </c>
      <c r="F49" s="56">
        <f>Base!F49+(G49/10000)</f>
        <v>5.6526740000000006E-2</v>
      </c>
      <c r="G49" s="68">
        <v>200</v>
      </c>
      <c r="H49" s="104"/>
      <c r="I49" s="110"/>
      <c r="J49" s="111"/>
      <c r="K49" s="11"/>
      <c r="L49" s="58"/>
      <c r="M49" s="11"/>
      <c r="N49" s="11"/>
      <c r="O49" s="58"/>
      <c r="P49" s="11"/>
      <c r="Q49" s="59"/>
      <c r="R49" s="26"/>
      <c r="S49" s="11"/>
      <c r="T49" s="26"/>
      <c r="U49" s="26"/>
      <c r="V49" s="11"/>
      <c r="W49" s="26"/>
      <c r="X49" s="26"/>
      <c r="Y49" s="11"/>
      <c r="Z49" s="11"/>
      <c r="AA49" s="11"/>
      <c r="AB49" s="11"/>
      <c r="AC49" s="11"/>
      <c r="AD49" s="11"/>
    </row>
    <row r="50" spans="1:30" ht="15.75" customHeight="1" x14ac:dyDescent="0.25">
      <c r="A50" s="60"/>
      <c r="B50" s="25" t="s">
        <v>27</v>
      </c>
      <c r="C50" s="56">
        <f>Base!C50+(D50/10000)</f>
        <v>0.35635100000000003</v>
      </c>
      <c r="D50" s="68">
        <v>200</v>
      </c>
      <c r="E50" s="25" t="s">
        <v>27</v>
      </c>
      <c r="F50" s="56">
        <f>Base!F50+(G50/10000)</f>
        <v>5.6731139999999999E-2</v>
      </c>
      <c r="G50" s="68">
        <v>200</v>
      </c>
      <c r="H50" s="104"/>
      <c r="I50" s="110"/>
      <c r="J50" s="111"/>
      <c r="K50" s="11"/>
      <c r="L50" s="58"/>
      <c r="M50" s="11"/>
      <c r="N50" s="11"/>
      <c r="O50" s="58"/>
      <c r="P50" s="11"/>
      <c r="Q50" s="59"/>
      <c r="R50" s="26"/>
      <c r="S50" s="11"/>
      <c r="T50" s="26"/>
      <c r="U50" s="26"/>
      <c r="V50" s="11"/>
      <c r="W50" s="26"/>
      <c r="X50" s="26"/>
      <c r="Y50" s="11"/>
      <c r="Z50" s="11"/>
      <c r="AA50" s="11"/>
      <c r="AB50" s="11"/>
      <c r="AC50" s="11"/>
      <c r="AD50" s="11"/>
    </row>
    <row r="51" spans="1:30" ht="15.75" customHeight="1" x14ac:dyDescent="0.25">
      <c r="A51" s="60"/>
      <c r="B51" s="25" t="s">
        <v>28</v>
      </c>
      <c r="C51" s="56">
        <f>Base!C51+(D51/10000)</f>
        <v>0.35635100000000003</v>
      </c>
      <c r="D51" s="68">
        <v>200</v>
      </c>
      <c r="E51" s="25" t="s">
        <v>28</v>
      </c>
      <c r="F51" s="56">
        <f>Base!F51+(G51/10000)</f>
        <v>5.7482240000000004E-2</v>
      </c>
      <c r="G51" s="68">
        <v>200</v>
      </c>
      <c r="H51" s="104"/>
      <c r="I51" s="110"/>
      <c r="J51" s="111"/>
      <c r="K51" s="11"/>
      <c r="L51" s="58"/>
      <c r="M51" s="11"/>
      <c r="N51" s="11"/>
      <c r="O51" s="58"/>
      <c r="P51" s="11"/>
      <c r="Q51" s="59"/>
      <c r="R51" s="26"/>
      <c r="S51" s="11"/>
      <c r="T51" s="26"/>
      <c r="U51" s="26"/>
      <c r="V51" s="11"/>
      <c r="W51" s="26"/>
      <c r="X51" s="26"/>
      <c r="Y51" s="11"/>
      <c r="Z51" s="11"/>
      <c r="AA51" s="11"/>
      <c r="AB51" s="11"/>
      <c r="AC51" s="11"/>
      <c r="AD51" s="11"/>
    </row>
    <row r="52" spans="1:30" ht="15.75" customHeight="1" x14ac:dyDescent="0.25">
      <c r="A52" s="60"/>
      <c r="B52" s="25" t="s">
        <v>29</v>
      </c>
      <c r="C52" s="56">
        <f>Base!C52+(D52/10000)</f>
        <v>0.35635100000000003</v>
      </c>
      <c r="D52" s="68">
        <v>200</v>
      </c>
      <c r="E52" s="25" t="s">
        <v>29</v>
      </c>
      <c r="F52" s="56">
        <f>Base!F52+(G52/10000)</f>
        <v>5.8233339999999995E-2</v>
      </c>
      <c r="G52" s="68">
        <v>200</v>
      </c>
      <c r="H52" s="104"/>
      <c r="I52" s="110"/>
      <c r="J52" s="111"/>
      <c r="K52" s="11"/>
      <c r="L52" s="58"/>
      <c r="M52" s="11"/>
      <c r="N52" s="11"/>
      <c r="O52" s="58"/>
      <c r="P52" s="11"/>
      <c r="Q52" s="59"/>
      <c r="R52" s="26"/>
      <c r="S52" s="11"/>
      <c r="T52" s="26"/>
      <c r="U52" s="26"/>
      <c r="V52" s="11"/>
      <c r="W52" s="26"/>
      <c r="X52" s="26"/>
      <c r="Y52" s="11"/>
      <c r="Z52" s="11"/>
      <c r="AA52" s="11"/>
      <c r="AB52" s="11"/>
      <c r="AC52" s="11"/>
      <c r="AD52" s="11"/>
    </row>
    <row r="53" spans="1:30" ht="15.75" customHeight="1" x14ac:dyDescent="0.25">
      <c r="A53" s="52"/>
      <c r="B53" s="25" t="s">
        <v>30</v>
      </c>
      <c r="C53" s="56">
        <f>Base!C53+(D53/10000)</f>
        <v>0.35635100000000003</v>
      </c>
      <c r="D53" s="68">
        <v>200</v>
      </c>
      <c r="E53" s="25" t="s">
        <v>30</v>
      </c>
      <c r="F53" s="56">
        <f>Base!F53+(G53/10000)</f>
        <v>5.9040726666666696E-2</v>
      </c>
      <c r="G53" s="68">
        <v>200</v>
      </c>
      <c r="H53" s="104"/>
      <c r="I53" s="110"/>
      <c r="J53" s="111"/>
      <c r="K53" s="11"/>
      <c r="L53" s="58"/>
      <c r="M53" s="11"/>
      <c r="N53" s="11"/>
      <c r="O53" s="58"/>
      <c r="P53" s="11"/>
      <c r="Q53" s="59"/>
      <c r="R53" s="26"/>
      <c r="S53" s="11"/>
      <c r="T53" s="26"/>
      <c r="U53" s="26"/>
      <c r="V53" s="11"/>
      <c r="W53" s="26"/>
      <c r="X53" s="26"/>
      <c r="Y53" s="11"/>
      <c r="Z53" s="11"/>
      <c r="AA53" s="11"/>
      <c r="AB53" s="11"/>
      <c r="AC53" s="11"/>
      <c r="AD53" s="11"/>
    </row>
    <row r="54" spans="1:30" ht="15.75" customHeight="1" x14ac:dyDescent="0.25">
      <c r="A54" s="52"/>
      <c r="B54" s="25" t="s">
        <v>31</v>
      </c>
      <c r="C54" s="56">
        <f>Base!C54+(D54/10000)</f>
        <v>0.35635100000000003</v>
      </c>
      <c r="D54" s="68">
        <v>200</v>
      </c>
      <c r="E54" s="25" t="s">
        <v>31</v>
      </c>
      <c r="F54" s="56">
        <f>Base!F54+(G54/10000)</f>
        <v>5.98481133333333E-2</v>
      </c>
      <c r="G54" s="68">
        <v>200</v>
      </c>
      <c r="H54" s="104"/>
      <c r="I54" s="110"/>
      <c r="J54" s="111"/>
      <c r="K54" s="11"/>
      <c r="L54" s="58"/>
      <c r="M54" s="11"/>
      <c r="N54" s="11"/>
      <c r="O54" s="58"/>
      <c r="P54" s="11"/>
      <c r="Q54" s="59"/>
      <c r="R54" s="26"/>
      <c r="S54" s="11"/>
      <c r="T54" s="26"/>
      <c r="U54" s="26"/>
      <c r="V54" s="11"/>
      <c r="W54" s="26"/>
      <c r="X54" s="26"/>
      <c r="Y54" s="11"/>
      <c r="Z54" s="11"/>
      <c r="AA54" s="11"/>
      <c r="AB54" s="11"/>
      <c r="AC54" s="11"/>
      <c r="AD54" s="11"/>
    </row>
    <row r="55" spans="1:30" ht="15.75" customHeight="1" x14ac:dyDescent="0.25">
      <c r="A55" s="52"/>
      <c r="B55" s="25" t="s">
        <v>32</v>
      </c>
      <c r="C55" s="56">
        <f>Base!C55+(D55/10000)</f>
        <v>0.35635100000000003</v>
      </c>
      <c r="D55" s="68">
        <v>200</v>
      </c>
      <c r="E55" s="25" t="s">
        <v>32</v>
      </c>
      <c r="F55" s="56">
        <f>Base!F55+(G55/10000)</f>
        <v>6.0655500000000001E-2</v>
      </c>
      <c r="G55" s="68">
        <v>200</v>
      </c>
      <c r="H55" s="104"/>
      <c r="I55" s="110"/>
      <c r="J55" s="111"/>
      <c r="K55" s="11"/>
      <c r="L55" s="58"/>
      <c r="M55" s="11"/>
      <c r="N55" s="11"/>
      <c r="O55" s="58"/>
      <c r="P55" s="11"/>
      <c r="Q55" s="59"/>
      <c r="R55" s="26"/>
      <c r="S55" s="11"/>
      <c r="T55" s="26"/>
      <c r="U55" s="26"/>
      <c r="V55" s="11"/>
      <c r="W55" s="26"/>
      <c r="X55" s="26"/>
      <c r="Y55" s="11"/>
      <c r="Z55" s="11"/>
      <c r="AA55" s="11"/>
      <c r="AB55" s="11"/>
      <c r="AC55" s="11"/>
      <c r="AD55" s="11"/>
    </row>
    <row r="56" spans="1:30" ht="15.75" customHeight="1" x14ac:dyDescent="0.25">
      <c r="A56" s="61"/>
      <c r="B56" s="25" t="s">
        <v>33</v>
      </c>
      <c r="C56" s="56">
        <f>Base!C56+(D56/10000)</f>
        <v>0.35635100000000003</v>
      </c>
      <c r="D56" s="68">
        <v>200</v>
      </c>
      <c r="E56" s="25" t="s">
        <v>33</v>
      </c>
      <c r="F56" s="56">
        <f>Base!F56+(G56/10000)</f>
        <v>5.9928852000000005E-2</v>
      </c>
      <c r="G56" s="68">
        <v>200</v>
      </c>
      <c r="H56" s="104"/>
      <c r="I56" s="110"/>
      <c r="J56" s="111"/>
      <c r="K56" s="25"/>
      <c r="L56" s="58"/>
      <c r="M56" s="11"/>
      <c r="N56" s="11"/>
      <c r="O56" s="58"/>
      <c r="P56" s="11"/>
      <c r="Q56" s="59"/>
      <c r="R56" s="26"/>
      <c r="S56" s="11"/>
      <c r="T56" s="26"/>
      <c r="U56" s="26"/>
      <c r="V56" s="11"/>
      <c r="W56" s="26"/>
      <c r="X56" s="26"/>
      <c r="Y56" s="11"/>
      <c r="Z56" s="11"/>
      <c r="AA56" s="11"/>
      <c r="AB56" s="11"/>
      <c r="AC56" s="11"/>
      <c r="AD56" s="11"/>
    </row>
    <row r="57" spans="1:30" ht="15.75" customHeight="1" x14ac:dyDescent="0.25">
      <c r="A57" s="52"/>
      <c r="B57" s="25" t="s">
        <v>34</v>
      </c>
      <c r="C57" s="56">
        <f>Base!C57+(D57/10000)</f>
        <v>0.35635100000000003</v>
      </c>
      <c r="D57" s="68">
        <v>200</v>
      </c>
      <c r="E57" s="25" t="s">
        <v>34</v>
      </c>
      <c r="F57" s="56">
        <f>Base!F57+(G57/10000)</f>
        <v>5.9202203999999994E-2</v>
      </c>
      <c r="G57" s="68">
        <v>200</v>
      </c>
      <c r="H57" s="104"/>
      <c r="I57" s="110"/>
      <c r="J57" s="111"/>
      <c r="K57" s="25"/>
      <c r="L57" s="58"/>
      <c r="M57" s="11"/>
      <c r="N57" s="11"/>
      <c r="O57" s="58"/>
      <c r="P57" s="11"/>
      <c r="Q57" s="59"/>
      <c r="R57" s="26"/>
      <c r="S57" s="11"/>
      <c r="T57" s="26"/>
      <c r="U57" s="26"/>
      <c r="V57" s="11"/>
      <c r="W57" s="26"/>
      <c r="X57" s="26"/>
      <c r="Y57" s="11"/>
      <c r="Z57" s="11"/>
      <c r="AA57" s="11"/>
      <c r="AB57" s="11"/>
      <c r="AC57" s="11"/>
      <c r="AD57" s="11"/>
    </row>
    <row r="58" spans="1:30" ht="15.75" customHeight="1" x14ac:dyDescent="0.25">
      <c r="A58" s="52"/>
      <c r="B58" s="25" t="s">
        <v>35</v>
      </c>
      <c r="C58" s="56">
        <f>Base!C58+(D58/10000)</f>
        <v>0.35635100000000003</v>
      </c>
      <c r="D58" s="68">
        <v>200</v>
      </c>
      <c r="E58" s="25" t="s">
        <v>35</v>
      </c>
      <c r="F58" s="56">
        <f>Base!F58+(G58/10000)</f>
        <v>6.0761002666666702E-2</v>
      </c>
      <c r="G58" s="68">
        <v>200</v>
      </c>
      <c r="H58" s="104"/>
      <c r="I58" s="110"/>
      <c r="J58" s="111"/>
      <c r="K58" s="25"/>
      <c r="L58" s="58"/>
      <c r="M58" s="11"/>
      <c r="N58" s="11"/>
      <c r="O58" s="58"/>
      <c r="P58" s="11"/>
      <c r="Q58" s="59"/>
      <c r="R58" s="26"/>
      <c r="S58" s="11"/>
      <c r="T58" s="26"/>
      <c r="U58" s="26"/>
      <c r="V58" s="11"/>
      <c r="W58" s="26"/>
      <c r="X58" s="26"/>
      <c r="Y58" s="11"/>
      <c r="Z58" s="11"/>
      <c r="AA58" s="11"/>
      <c r="AB58" s="11"/>
      <c r="AC58" s="11"/>
      <c r="AD58" s="11"/>
    </row>
    <row r="59" spans="1:30" ht="15.75" customHeight="1" x14ac:dyDescent="0.25">
      <c r="A59" s="52"/>
      <c r="B59" s="25" t="s">
        <v>36</v>
      </c>
      <c r="C59" s="56">
        <f>Base!C59+(D59/10000)</f>
        <v>0.35635100000000003</v>
      </c>
      <c r="D59" s="68">
        <v>200</v>
      </c>
      <c r="E59" s="25" t="s">
        <v>36</v>
      </c>
      <c r="F59" s="56">
        <f>Base!F59+(G59/10000)</f>
        <v>6.23198013333333E-2</v>
      </c>
      <c r="G59" s="68">
        <v>200</v>
      </c>
      <c r="H59" s="104"/>
      <c r="I59" s="110"/>
      <c r="J59" s="111"/>
      <c r="K59" s="25"/>
      <c r="L59" s="58"/>
      <c r="M59" s="11"/>
      <c r="N59" s="11"/>
      <c r="O59" s="58"/>
      <c r="P59" s="11"/>
      <c r="Q59" s="59"/>
      <c r="R59" s="26"/>
      <c r="S59" s="11"/>
      <c r="T59" s="26"/>
      <c r="U59" s="26"/>
      <c r="V59" s="11"/>
      <c r="W59" s="26"/>
      <c r="X59" s="26"/>
      <c r="Y59" s="11"/>
      <c r="Z59" s="11"/>
      <c r="AA59" s="11"/>
      <c r="AB59" s="11"/>
      <c r="AC59" s="11"/>
      <c r="AD59" s="11"/>
    </row>
    <row r="60" spans="1:30" ht="15.75" customHeight="1" x14ac:dyDescent="0.25">
      <c r="A60" s="52"/>
      <c r="B60" s="25" t="s">
        <v>37</v>
      </c>
      <c r="C60" s="56">
        <f>Base!C60+(D60/10000)</f>
        <v>0.35635100000000003</v>
      </c>
      <c r="D60" s="68">
        <v>200</v>
      </c>
      <c r="E60" s="25" t="s">
        <v>37</v>
      </c>
      <c r="F60" s="56">
        <f>Base!F60+(G60/10000)</f>
        <v>6.3878599999999994E-2</v>
      </c>
      <c r="G60" s="68">
        <v>200</v>
      </c>
      <c r="H60" s="104"/>
      <c r="I60" s="110"/>
      <c r="J60" s="111"/>
      <c r="K60" s="25"/>
      <c r="L60" s="58"/>
      <c r="M60" s="11"/>
      <c r="N60" s="11"/>
      <c r="O60" s="11"/>
      <c r="P60" s="11"/>
      <c r="Q60" s="26"/>
      <c r="R60" s="26"/>
      <c r="S60" s="11"/>
      <c r="T60" s="26"/>
      <c r="U60" s="26"/>
      <c r="V60" s="11"/>
      <c r="W60" s="26"/>
      <c r="X60" s="26"/>
      <c r="Y60" s="11"/>
      <c r="Z60" s="11"/>
      <c r="AA60" s="11"/>
      <c r="AB60" s="11"/>
      <c r="AC60" s="11"/>
      <c r="AD60" s="11"/>
    </row>
    <row r="61" spans="1:30" ht="15.75" customHeight="1" x14ac:dyDescent="0.25">
      <c r="A61" s="52"/>
      <c r="B61" s="25" t="s">
        <v>38</v>
      </c>
      <c r="C61" s="56">
        <f>Base!C61+(D61/10000)</f>
        <v>0.35635100000000003</v>
      </c>
      <c r="D61" s="68">
        <v>200</v>
      </c>
      <c r="E61" s="25" t="s">
        <v>38</v>
      </c>
      <c r="F61" s="56">
        <f>Base!F61+(G61/10000)</f>
        <v>6.4169024000000005E-2</v>
      </c>
      <c r="G61" s="68">
        <v>200</v>
      </c>
      <c r="H61" s="104"/>
      <c r="I61" s="110"/>
      <c r="J61" s="111"/>
      <c r="K61" s="25"/>
      <c r="L61" s="58"/>
      <c r="M61" s="11"/>
      <c r="N61" s="11"/>
      <c r="O61" s="11"/>
      <c r="P61" s="11"/>
      <c r="Q61" s="26"/>
      <c r="R61" s="26"/>
      <c r="S61" s="11"/>
      <c r="T61" s="26"/>
      <c r="U61" s="26"/>
      <c r="V61" s="11"/>
      <c r="W61" s="26"/>
      <c r="X61" s="26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25" t="s">
        <v>39</v>
      </c>
      <c r="C62" s="56">
        <f>Base!C62+(D62/10000)</f>
        <v>0.35635100000000003</v>
      </c>
      <c r="D62" s="68">
        <v>200</v>
      </c>
      <c r="E62" s="25" t="s">
        <v>39</v>
      </c>
      <c r="F62" s="56">
        <f>Base!F62+(G62/10000)</f>
        <v>6.4459448000000003E-2</v>
      </c>
      <c r="G62" s="68">
        <v>200</v>
      </c>
      <c r="H62" s="104"/>
      <c r="I62" s="110"/>
      <c r="J62" s="111"/>
      <c r="K62" s="62"/>
      <c r="L62" s="58"/>
      <c r="M62" s="11"/>
      <c r="N62" s="11"/>
      <c r="O62" s="11"/>
      <c r="P62" s="11"/>
      <c r="Q62" s="26"/>
      <c r="R62" s="26"/>
      <c r="S62" s="11"/>
      <c r="T62" s="26"/>
      <c r="U62" s="26"/>
      <c r="V62" s="11"/>
      <c r="W62" s="26"/>
      <c r="X62" s="26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25" t="s">
        <v>40</v>
      </c>
      <c r="C63" s="56">
        <f>Base!C63+(D63/10000)</f>
        <v>0.35635100000000003</v>
      </c>
      <c r="D63" s="68">
        <v>200</v>
      </c>
      <c r="E63" s="25" t="s">
        <v>40</v>
      </c>
      <c r="F63" s="56">
        <f>Base!F63+(G63/10000)</f>
        <v>6.4749872E-2</v>
      </c>
      <c r="G63" s="68">
        <v>200</v>
      </c>
      <c r="H63" s="104"/>
      <c r="I63" s="110"/>
      <c r="J63" s="111"/>
      <c r="K63" s="62"/>
      <c r="L63" s="58"/>
      <c r="M63" s="11"/>
      <c r="N63" s="11"/>
      <c r="O63" s="11"/>
      <c r="P63" s="11"/>
      <c r="Q63" s="26"/>
      <c r="R63" s="26"/>
      <c r="S63" s="11"/>
      <c r="T63" s="26"/>
      <c r="U63" s="26"/>
      <c r="V63" s="11"/>
      <c r="W63" s="26"/>
      <c r="X63" s="26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25" t="s">
        <v>41</v>
      </c>
      <c r="C64" s="56">
        <f>Base!C64+(D64/10000)</f>
        <v>0.35635100000000003</v>
      </c>
      <c r="D64" s="68">
        <v>200</v>
      </c>
      <c r="E64" s="25" t="s">
        <v>41</v>
      </c>
      <c r="F64" s="56">
        <f>Base!F64+(G64/10000)</f>
        <v>6.5040295999999997E-2</v>
      </c>
      <c r="G64" s="68">
        <v>200</v>
      </c>
      <c r="H64" s="104"/>
      <c r="I64" s="110"/>
      <c r="J64" s="111"/>
      <c r="K64" s="62"/>
      <c r="L64" s="58"/>
      <c r="M64" s="11"/>
      <c r="N64" s="11"/>
      <c r="O64" s="11"/>
      <c r="P64" s="11"/>
      <c r="Q64" s="26"/>
      <c r="R64" s="26"/>
      <c r="S64" s="11"/>
      <c r="T64" s="26"/>
      <c r="U64" s="26"/>
      <c r="V64" s="11"/>
      <c r="W64" s="26"/>
      <c r="X64" s="26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25" t="s">
        <v>42</v>
      </c>
      <c r="C65" s="56">
        <f>Base!C65+(D65/10000)</f>
        <v>0.35635100000000003</v>
      </c>
      <c r="D65" s="68">
        <v>200</v>
      </c>
      <c r="E65" s="25" t="s">
        <v>42</v>
      </c>
      <c r="F65" s="56">
        <f>Base!F65+(G65/10000)</f>
        <v>6.5330719999999995E-2</v>
      </c>
      <c r="G65" s="68">
        <v>200</v>
      </c>
      <c r="H65" s="104"/>
      <c r="I65" s="110"/>
      <c r="J65" s="1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25" t="s">
        <v>43</v>
      </c>
      <c r="C66" s="56">
        <f>Base!C66+(D66/10000)</f>
        <v>0.35635100000000003</v>
      </c>
      <c r="D66" s="68">
        <v>200</v>
      </c>
      <c r="E66" s="25" t="s">
        <v>43</v>
      </c>
      <c r="F66" s="56">
        <f>Base!F66+(G66/10000)</f>
        <v>6.5330719999999995E-2</v>
      </c>
      <c r="G66" s="68">
        <v>200</v>
      </c>
      <c r="H66" s="104"/>
      <c r="I66" s="110"/>
      <c r="J66" s="1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25" t="s">
        <v>44</v>
      </c>
      <c r="C67" s="56">
        <f>Base!C67+(D67/10000)</f>
        <v>0.35635100000000003</v>
      </c>
      <c r="D67" s="68">
        <v>200</v>
      </c>
      <c r="E67" s="25" t="s">
        <v>44</v>
      </c>
      <c r="F67" s="56">
        <f>Base!F67+(G67/10000)</f>
        <v>6.5330719999999995E-2</v>
      </c>
      <c r="G67" s="68">
        <v>200</v>
      </c>
      <c r="H67" s="104"/>
      <c r="I67" s="110"/>
      <c r="J67" s="1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25" t="s">
        <v>45</v>
      </c>
      <c r="C68" s="56">
        <f>Base!C68+(D68/10000)</f>
        <v>0.35635100000000003</v>
      </c>
      <c r="D68" s="68">
        <v>200</v>
      </c>
      <c r="E68" s="25" t="s">
        <v>45</v>
      </c>
      <c r="F68" s="56">
        <f>Base!F68+(G68/10000)</f>
        <v>6.5330719999999995E-2</v>
      </c>
      <c r="G68" s="68">
        <v>200</v>
      </c>
      <c r="H68" s="104"/>
      <c r="I68" s="110"/>
      <c r="J68" s="1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25" t="s">
        <v>46</v>
      </c>
      <c r="C69" s="56">
        <f>Base!C69+(D69/10000)</f>
        <v>0.35635100000000003</v>
      </c>
      <c r="D69" s="68">
        <v>200</v>
      </c>
      <c r="E69" s="25" t="s">
        <v>46</v>
      </c>
      <c r="F69" s="56">
        <f>Base!F69+(G69/10000)</f>
        <v>6.5330719999999995E-2</v>
      </c>
      <c r="G69" s="68">
        <v>200</v>
      </c>
      <c r="H69" s="104"/>
      <c r="I69" s="110"/>
      <c r="J69" s="1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25" t="s">
        <v>47</v>
      </c>
      <c r="C70" s="56">
        <f>Base!C70+(D70/10000)</f>
        <v>0.35635100000000003</v>
      </c>
      <c r="D70" s="68">
        <v>200</v>
      </c>
      <c r="E70" s="25" t="s">
        <v>47</v>
      </c>
      <c r="F70" s="56">
        <f>Base!F70+(G70/10000)</f>
        <v>6.5330719999999995E-2</v>
      </c>
      <c r="G70" s="68">
        <v>200</v>
      </c>
      <c r="H70" s="104"/>
      <c r="I70" s="110"/>
      <c r="J70" s="1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63"/>
      <c r="G125" s="63"/>
      <c r="H125" s="63"/>
      <c r="I125" s="63"/>
      <c r="J125" s="63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63"/>
      <c r="G126" s="63"/>
      <c r="H126" s="63"/>
      <c r="I126" s="63"/>
      <c r="J126" s="63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/>
    <row r="263" spans="1:30" ht="15.75" customHeight="1" x14ac:dyDescent="0.25"/>
    <row r="264" spans="1:30" ht="15.75" customHeight="1" x14ac:dyDescent="0.25"/>
    <row r="265" spans="1:30" ht="15.75" customHeight="1" x14ac:dyDescent="0.25"/>
    <row r="266" spans="1:30" ht="15.75" customHeight="1" x14ac:dyDescent="0.25"/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29:F29">
    <cfRule type="cellIs" dxfId="15" priority="1" operator="equal">
      <formula>"TRUE"</formula>
    </cfRule>
  </conditionalFormatting>
  <conditionalFormatting sqref="C10:H10">
    <cfRule type="cellIs" dxfId="14" priority="2" operator="equal">
      <formula>"TRUE"</formula>
    </cfRule>
  </conditionalFormatting>
  <conditionalFormatting sqref="G22:H28 J22:N28">
    <cfRule type="cellIs" dxfId="13" priority="3" operator="equal">
      <formula>"TRUE"</formula>
    </cfRule>
  </conditionalFormatting>
  <conditionalFormatting sqref="K10:N10">
    <cfRule type="cellIs" dxfId="12" priority="4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D1000"/>
  <sheetViews>
    <sheetView showGridLines="0" topLeftCell="A34" workbookViewId="0">
      <selection activeCell="C43" sqref="C43"/>
    </sheetView>
  </sheetViews>
  <sheetFormatPr baseColWidth="10" defaultColWidth="12.6328125" defaultRowHeight="15" customHeight="1" x14ac:dyDescent="0.25"/>
  <cols>
    <col min="1" max="1" width="32.453125" customWidth="1"/>
    <col min="2" max="3" width="10.453125" customWidth="1"/>
    <col min="4" max="4" width="7.453125" customWidth="1"/>
    <col min="5" max="6" width="10.453125" customWidth="1"/>
    <col min="7" max="7" width="7.453125" customWidth="1"/>
    <col min="8" max="9" width="10.453125" customWidth="1"/>
    <col min="10" max="10" width="7.453125" customWidth="1"/>
    <col min="11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30" width="23.08984375" customWidth="1"/>
  </cols>
  <sheetData>
    <row r="1" spans="1:30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  <c r="AD5" s="11"/>
    </row>
    <row r="6" spans="1:30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  <c r="AD6" s="11"/>
    </row>
    <row r="7" spans="1:30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" x14ac:dyDescent="0.25">
      <c r="A8" s="27"/>
      <c r="B8" s="2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  <c r="AD8" s="32"/>
    </row>
    <row r="9" spans="1:30" ht="14" x14ac:dyDescent="0.25">
      <c r="A9" s="33"/>
      <c r="B9" s="28"/>
      <c r="C9" s="29"/>
      <c r="D9" s="29"/>
      <c r="E9" s="29"/>
      <c r="F9" s="29"/>
      <c r="G9" s="30"/>
      <c r="H9" s="30"/>
      <c r="I9" s="31"/>
      <c r="J9" s="28"/>
      <c r="K9" s="29"/>
      <c r="L9" s="29"/>
      <c r="M9" s="29"/>
      <c r="N9" s="29"/>
      <c r="O9" s="36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  <c r="AD9" s="38"/>
    </row>
    <row r="10" spans="1:30" ht="14" x14ac:dyDescent="0.3">
      <c r="A10" s="33"/>
      <c r="B10" s="34"/>
      <c r="C10" s="35"/>
      <c r="D10" s="35"/>
      <c r="E10" s="35"/>
      <c r="F10" s="35"/>
      <c r="G10" s="35"/>
      <c r="H10" s="35"/>
      <c r="I10" s="31"/>
      <c r="J10" s="34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  <c r="AD10" s="38"/>
    </row>
    <row r="11" spans="1:30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  <c r="AD11" s="38"/>
    </row>
    <row r="12" spans="1:30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  <c r="AD12" s="38"/>
    </row>
    <row r="13" spans="1:30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  <c r="AD13" s="38"/>
    </row>
    <row r="14" spans="1:30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  <c r="AD14" s="38"/>
    </row>
    <row r="15" spans="1:30" ht="14" x14ac:dyDescent="0.25">
      <c r="A15" s="33"/>
      <c r="B15" s="31"/>
      <c r="C15" s="36"/>
      <c r="D15" s="36"/>
      <c r="E15" s="36"/>
      <c r="F15" s="36"/>
      <c r="G15" s="36"/>
      <c r="H15" s="36"/>
      <c r="I15" s="31"/>
      <c r="J15" s="31"/>
      <c r="K15" s="36"/>
      <c r="L15" s="36"/>
      <c r="M15" s="36"/>
      <c r="N15" s="36"/>
      <c r="O15" s="39"/>
      <c r="P15" s="39"/>
      <c r="Q15" s="39"/>
      <c r="R15" s="39"/>
      <c r="S15" s="39"/>
      <c r="T15" s="39"/>
      <c r="U15" s="39"/>
      <c r="V15" s="39"/>
      <c r="W15" s="39"/>
      <c r="X15" s="40"/>
      <c r="Y15" s="40"/>
      <c r="Z15" s="40"/>
      <c r="AA15" s="40"/>
      <c r="AB15" s="40"/>
      <c r="AC15" s="40"/>
      <c r="AD15" s="40"/>
    </row>
    <row r="16" spans="1:30" ht="14" x14ac:dyDescent="0.25">
      <c r="A16" s="33"/>
      <c r="B16" s="31"/>
      <c r="C16" s="36"/>
      <c r="D16" s="36"/>
      <c r="E16" s="36"/>
      <c r="F16" s="36"/>
      <c r="G16" s="39"/>
      <c r="H16" s="39"/>
      <c r="I16" s="31"/>
      <c r="J16" s="31"/>
      <c r="K16" s="36"/>
      <c r="L16" s="36"/>
      <c r="M16" s="36"/>
      <c r="N16" s="36"/>
      <c r="O16" s="30"/>
      <c r="P16" s="30"/>
      <c r="Q16" s="30"/>
      <c r="R16" s="30"/>
      <c r="S16" s="30"/>
      <c r="T16" s="30"/>
      <c r="U16" s="30"/>
      <c r="V16" s="30"/>
      <c r="W16" s="30"/>
      <c r="X16" s="32"/>
      <c r="Y16" s="32"/>
      <c r="Z16" s="32"/>
      <c r="AA16" s="32"/>
      <c r="AB16" s="32"/>
      <c r="AC16" s="32"/>
      <c r="AD16" s="32"/>
    </row>
    <row r="17" spans="1:30" ht="14" x14ac:dyDescent="0.25">
      <c r="A17" s="41"/>
      <c r="B17" s="31"/>
      <c r="C17" s="36"/>
      <c r="D17" s="36"/>
      <c r="E17" s="36"/>
      <c r="F17" s="36"/>
      <c r="G17" s="30"/>
      <c r="H17" s="30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0"/>
      <c r="Y17" s="40"/>
      <c r="Z17" s="40"/>
      <c r="AA17" s="40"/>
      <c r="AB17" s="40"/>
      <c r="AC17" s="40"/>
      <c r="AD17" s="40"/>
    </row>
    <row r="18" spans="1:30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0"/>
      <c r="Y18" s="40"/>
      <c r="Z18" s="40"/>
      <c r="AA18" s="40"/>
      <c r="AB18" s="40"/>
      <c r="AC18" s="40"/>
      <c r="AD18" s="40"/>
    </row>
    <row r="19" spans="1:30" ht="14" x14ac:dyDescent="0.25">
      <c r="A19" s="40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0"/>
      <c r="Y19" s="40"/>
      <c r="Z19" s="40"/>
      <c r="AA19" s="40"/>
      <c r="AB19" s="40"/>
      <c r="AC19" s="40"/>
      <c r="AD19" s="40"/>
    </row>
    <row r="20" spans="1:30" ht="14" x14ac:dyDescent="0.25">
      <c r="A20" s="40"/>
      <c r="B20" s="31"/>
      <c r="C20" s="36"/>
      <c r="D20" s="36"/>
      <c r="E20" s="36"/>
      <c r="F20" s="36"/>
      <c r="G20" s="36"/>
      <c r="H20" s="36"/>
      <c r="I20" s="31"/>
      <c r="J20" s="31"/>
      <c r="K20" s="36"/>
      <c r="L20" s="36"/>
      <c r="M20" s="36"/>
      <c r="N20" s="36"/>
      <c r="O20" s="42"/>
      <c r="P20" s="42"/>
      <c r="Q20" s="42"/>
      <c r="R20" s="42"/>
      <c r="S20" s="42"/>
      <c r="T20" s="42"/>
      <c r="U20" s="42"/>
      <c r="V20" s="42"/>
      <c r="W20" s="42"/>
      <c r="X20" s="40"/>
      <c r="Y20" s="40"/>
      <c r="Z20" s="40"/>
      <c r="AA20" s="40"/>
      <c r="AB20" s="40"/>
      <c r="AC20" s="40"/>
      <c r="AD20" s="40"/>
    </row>
    <row r="21" spans="1:30" ht="15.75" customHeight="1" x14ac:dyDescent="0.25">
      <c r="A21" s="40"/>
      <c r="B21" s="31"/>
      <c r="C21" s="31"/>
      <c r="D21" s="31"/>
      <c r="E21" s="31"/>
      <c r="F21" s="31"/>
      <c r="G21" s="36"/>
      <c r="H21" s="36"/>
      <c r="I21" s="31"/>
      <c r="J21" s="31"/>
      <c r="K21" s="36"/>
      <c r="L21" s="36"/>
      <c r="M21" s="36"/>
      <c r="N21" s="36"/>
      <c r="O21" s="42"/>
      <c r="P21" s="42"/>
      <c r="Q21" s="42"/>
      <c r="R21" s="42"/>
      <c r="S21" s="42"/>
      <c r="T21" s="42"/>
      <c r="U21" s="42"/>
      <c r="V21" s="42"/>
      <c r="W21" s="42"/>
      <c r="X21" s="40"/>
      <c r="Y21" s="40"/>
      <c r="Z21" s="40"/>
      <c r="AA21" s="40"/>
      <c r="AB21" s="40"/>
      <c r="AC21" s="40"/>
      <c r="AD21" s="40"/>
    </row>
    <row r="22" spans="1:30" ht="15.75" customHeight="1" x14ac:dyDescent="0.3">
      <c r="A22" s="40"/>
      <c r="B22" s="31"/>
      <c r="C22" s="29"/>
      <c r="D22" s="29"/>
      <c r="E22" s="29"/>
      <c r="F22" s="29"/>
      <c r="G22" s="35"/>
      <c r="H22" s="35"/>
      <c r="I22" s="31"/>
      <c r="J22" s="31"/>
      <c r="K22" s="36"/>
      <c r="L22" s="36"/>
      <c r="M22" s="36"/>
      <c r="N22" s="36"/>
      <c r="O22" s="42"/>
      <c r="P22" s="42"/>
      <c r="Q22" s="42"/>
      <c r="R22" s="42"/>
      <c r="S22" s="42"/>
      <c r="T22" s="42"/>
      <c r="U22" s="42"/>
      <c r="V22" s="42"/>
      <c r="W22" s="42"/>
      <c r="X22" s="40"/>
      <c r="Y22" s="40"/>
      <c r="Z22" s="40"/>
      <c r="AA22" s="40"/>
      <c r="AB22" s="40"/>
      <c r="AC22" s="40"/>
      <c r="AD22" s="40"/>
    </row>
    <row r="23" spans="1:30" ht="15.75" customHeight="1" x14ac:dyDescent="0.3">
      <c r="A23" s="40"/>
      <c r="B23" s="31"/>
      <c r="C23" s="29"/>
      <c r="D23" s="29"/>
      <c r="E23" s="29"/>
      <c r="F23" s="29"/>
      <c r="G23" s="35"/>
      <c r="H23" s="35"/>
      <c r="I23" s="31"/>
      <c r="J23" s="31"/>
      <c r="K23" s="36"/>
      <c r="L23" s="36"/>
      <c r="M23" s="36"/>
      <c r="N23" s="36"/>
      <c r="O23" s="42"/>
      <c r="P23" s="42"/>
      <c r="Q23" s="42"/>
      <c r="R23" s="42"/>
      <c r="S23" s="42"/>
      <c r="T23" s="42"/>
      <c r="U23" s="42"/>
      <c r="V23" s="42"/>
      <c r="W23" s="42"/>
      <c r="X23" s="40"/>
      <c r="Y23" s="40"/>
      <c r="Z23" s="40"/>
      <c r="AA23" s="40"/>
      <c r="AB23" s="40"/>
      <c r="AC23" s="40"/>
      <c r="AD23" s="40"/>
    </row>
    <row r="24" spans="1:30" ht="15.75" customHeight="1" x14ac:dyDescent="0.3">
      <c r="A24" s="40"/>
      <c r="B24" s="31"/>
      <c r="C24" s="29"/>
      <c r="D24" s="29"/>
      <c r="E24" s="29"/>
      <c r="F24" s="29"/>
      <c r="G24" s="35"/>
      <c r="H24" s="35"/>
      <c r="I24" s="31"/>
      <c r="J24" s="31"/>
      <c r="K24" s="36"/>
      <c r="L24" s="36"/>
      <c r="M24" s="36"/>
      <c r="N24" s="36"/>
      <c r="O24" s="42"/>
      <c r="P24" s="42"/>
      <c r="Q24" s="42"/>
      <c r="R24" s="42"/>
      <c r="S24" s="42"/>
      <c r="T24" s="42"/>
      <c r="U24" s="42"/>
      <c r="V24" s="42"/>
      <c r="W24" s="42"/>
      <c r="X24" s="40"/>
      <c r="Y24" s="40"/>
      <c r="Z24" s="40"/>
      <c r="AA24" s="40"/>
      <c r="AB24" s="40"/>
      <c r="AC24" s="40"/>
      <c r="AD24" s="40"/>
    </row>
    <row r="25" spans="1:30" ht="15.75" customHeight="1" x14ac:dyDescent="0.3">
      <c r="A25" s="40"/>
      <c r="B25" s="31"/>
      <c r="C25" s="29"/>
      <c r="D25" s="29"/>
      <c r="E25" s="29"/>
      <c r="F25" s="29"/>
      <c r="G25" s="35"/>
      <c r="H25" s="35"/>
      <c r="I25" s="31"/>
      <c r="J25" s="31"/>
      <c r="K25" s="36"/>
      <c r="L25" s="36"/>
      <c r="M25" s="36"/>
      <c r="N25" s="36"/>
      <c r="O25" s="42"/>
      <c r="P25" s="42"/>
      <c r="Q25" s="42"/>
      <c r="R25" s="42"/>
      <c r="S25" s="42"/>
      <c r="T25" s="42"/>
      <c r="U25" s="42"/>
      <c r="V25" s="42"/>
      <c r="W25" s="42"/>
      <c r="X25" s="40"/>
      <c r="Y25" s="40"/>
      <c r="Z25" s="40"/>
      <c r="AA25" s="40"/>
      <c r="AB25" s="40"/>
      <c r="AC25" s="40"/>
      <c r="AD25" s="40"/>
    </row>
    <row r="26" spans="1:30" ht="15.75" customHeight="1" x14ac:dyDescent="0.3">
      <c r="A26" s="40"/>
      <c r="B26" s="31"/>
      <c r="C26" s="29"/>
      <c r="D26" s="29"/>
      <c r="E26" s="29"/>
      <c r="F26" s="29"/>
      <c r="G26" s="35"/>
      <c r="H26" s="35"/>
      <c r="I26" s="31"/>
      <c r="J26" s="31"/>
      <c r="K26" s="36"/>
      <c r="L26" s="36"/>
      <c r="M26" s="36"/>
      <c r="N26" s="36"/>
      <c r="O26" s="42"/>
      <c r="P26" s="42"/>
      <c r="Q26" s="42"/>
      <c r="R26" s="42"/>
      <c r="S26" s="42"/>
      <c r="T26" s="42"/>
      <c r="U26" s="42"/>
      <c r="V26" s="42"/>
      <c r="W26" s="42"/>
      <c r="X26" s="40"/>
      <c r="Y26" s="40"/>
      <c r="Z26" s="40"/>
      <c r="AA26" s="40"/>
      <c r="AB26" s="40"/>
      <c r="AC26" s="40"/>
      <c r="AD26" s="40"/>
    </row>
    <row r="27" spans="1:30" ht="15.75" customHeight="1" x14ac:dyDescent="0.3">
      <c r="A27" s="40"/>
      <c r="B27" s="31"/>
      <c r="C27" s="29"/>
      <c r="D27" s="29"/>
      <c r="E27" s="29"/>
      <c r="F27" s="29"/>
      <c r="G27" s="35"/>
      <c r="H27" s="35"/>
      <c r="I27" s="31"/>
      <c r="J27" s="31"/>
      <c r="K27" s="36"/>
      <c r="L27" s="36"/>
      <c r="M27" s="36"/>
      <c r="N27" s="36"/>
      <c r="O27" s="42"/>
      <c r="P27" s="42"/>
      <c r="Q27" s="42"/>
      <c r="R27" s="42"/>
      <c r="S27" s="42"/>
      <c r="T27" s="42"/>
      <c r="U27" s="42"/>
      <c r="V27" s="42"/>
      <c r="W27" s="42"/>
      <c r="X27" s="40"/>
      <c r="Y27" s="40"/>
      <c r="Z27" s="40"/>
      <c r="AA27" s="40"/>
      <c r="AB27" s="40"/>
      <c r="AC27" s="40"/>
      <c r="AD27" s="40"/>
    </row>
    <row r="28" spans="1:30" ht="15.75" customHeight="1" x14ac:dyDescent="0.3">
      <c r="A28" s="40"/>
      <c r="B28" s="31"/>
      <c r="C28" s="29"/>
      <c r="D28" s="29"/>
      <c r="E28" s="29"/>
      <c r="F28" s="29"/>
      <c r="G28" s="35"/>
      <c r="H28" s="35"/>
      <c r="I28" s="31"/>
      <c r="J28" s="31"/>
      <c r="K28" s="36"/>
      <c r="L28" s="36"/>
      <c r="M28" s="36"/>
      <c r="N28" s="36"/>
      <c r="O28" s="42"/>
      <c r="P28" s="42"/>
      <c r="Q28" s="42"/>
      <c r="R28" s="42"/>
      <c r="S28" s="42"/>
      <c r="T28" s="42"/>
      <c r="U28" s="42"/>
      <c r="V28" s="42"/>
      <c r="W28" s="42"/>
      <c r="X28" s="40"/>
      <c r="Y28" s="40"/>
      <c r="Z28" s="40"/>
      <c r="AA28" s="40"/>
      <c r="AB28" s="40"/>
      <c r="AC28" s="40"/>
      <c r="AD28" s="40"/>
    </row>
    <row r="29" spans="1:30" ht="15.75" customHeight="1" x14ac:dyDescent="0.3">
      <c r="A29" s="40"/>
      <c r="B29" s="34"/>
      <c r="C29" s="35"/>
      <c r="D29" s="35"/>
      <c r="E29" s="35"/>
      <c r="F29" s="35"/>
      <c r="G29" s="42"/>
      <c r="H29" s="42"/>
      <c r="I29" s="31"/>
      <c r="J29" s="31"/>
      <c r="K29" s="36"/>
      <c r="L29" s="36"/>
      <c r="M29" s="36"/>
      <c r="N29" s="3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0"/>
      <c r="AB29" s="40"/>
      <c r="AC29" s="40"/>
      <c r="AD29" s="40"/>
    </row>
    <row r="30" spans="1:30" ht="15.75" customHeight="1" x14ac:dyDescent="0.25">
      <c r="A30" s="40"/>
      <c r="B30" s="31"/>
      <c r="C30" s="42"/>
      <c r="D30" s="42"/>
      <c r="E30" s="42"/>
      <c r="F30" s="42"/>
      <c r="G30" s="42"/>
      <c r="H30" s="42"/>
      <c r="I30" s="31"/>
      <c r="J30" s="31"/>
      <c r="K30" s="36"/>
      <c r="L30" s="36"/>
      <c r="M30" s="36"/>
      <c r="N30" s="36"/>
      <c r="O30" s="30"/>
      <c r="P30" s="30"/>
      <c r="Q30" s="30"/>
      <c r="R30" s="30"/>
      <c r="S30" s="30"/>
      <c r="T30" s="30"/>
      <c r="U30" s="30"/>
      <c r="V30" s="30"/>
      <c r="W30" s="30"/>
      <c r="X30" s="43"/>
      <c r="Y30" s="43"/>
      <c r="Z30" s="43"/>
      <c r="AA30" s="40"/>
      <c r="AB30" s="40"/>
      <c r="AC30" s="40"/>
      <c r="AD30" s="40"/>
    </row>
    <row r="31" spans="1:30" ht="15.75" customHeight="1" x14ac:dyDescent="0.25">
      <c r="A31" s="40"/>
      <c r="B31" s="31"/>
      <c r="C31" s="42"/>
      <c r="D31" s="42"/>
      <c r="E31" s="42"/>
      <c r="F31" s="42"/>
      <c r="G31" s="43"/>
      <c r="H31" s="43"/>
      <c r="I31" s="43"/>
      <c r="J31" s="43"/>
      <c r="K31" s="43"/>
      <c r="L31" s="43"/>
      <c r="M31" s="43"/>
      <c r="N31" s="43"/>
      <c r="O31" s="42"/>
      <c r="P31" s="42"/>
      <c r="Q31" s="42"/>
      <c r="R31" s="42"/>
      <c r="S31" s="42"/>
      <c r="T31" s="42"/>
      <c r="U31" s="42"/>
      <c r="V31" s="42"/>
      <c r="W31" s="42"/>
      <c r="X31" s="43"/>
      <c r="Y31" s="43"/>
      <c r="Z31" s="43"/>
      <c r="AA31" s="40"/>
      <c r="AB31" s="40"/>
      <c r="AC31" s="40"/>
      <c r="AD31" s="40"/>
    </row>
    <row r="32" spans="1:30" ht="15.75" customHeight="1" x14ac:dyDescent="0.25">
      <c r="A32" s="40"/>
      <c r="B32" s="29"/>
      <c r="C32" s="36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3"/>
      <c r="Y32" s="43"/>
      <c r="Z32" s="43"/>
      <c r="AA32" s="40"/>
      <c r="AB32" s="40"/>
      <c r="AC32" s="40"/>
      <c r="AD32" s="40"/>
    </row>
    <row r="33" spans="1:30" ht="15.75" customHeight="1" x14ac:dyDescent="0.25">
      <c r="A33" s="40"/>
      <c r="B33" s="2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43"/>
      <c r="Y33" s="43"/>
      <c r="Z33" s="43"/>
      <c r="AA33" s="40"/>
      <c r="AB33" s="40"/>
      <c r="AC33" s="40"/>
      <c r="AD33" s="40"/>
    </row>
    <row r="34" spans="1:30" ht="15.75" customHeight="1" x14ac:dyDescent="0.25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9"/>
      <c r="Y34" s="49"/>
      <c r="Z34" s="49"/>
      <c r="AA34" s="45"/>
      <c r="AB34" s="45"/>
      <c r="AC34" s="45"/>
      <c r="AD34" s="45"/>
    </row>
    <row r="35" spans="1:30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  <c r="AD35" s="45"/>
    </row>
    <row r="36" spans="1:30" ht="15.75" customHeight="1" x14ac:dyDescent="0.25">
      <c r="A36" s="45"/>
      <c r="B36" s="50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1"/>
      <c r="Y36" s="51"/>
      <c r="Z36" s="51"/>
      <c r="AA36" s="51"/>
      <c r="AB36" s="51"/>
      <c r="AC36" s="51"/>
      <c r="AD36" s="51"/>
    </row>
    <row r="37" spans="1:30" ht="15.75" customHeight="1" x14ac:dyDescent="0.25">
      <c r="A37" s="1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1"/>
      <c r="AB37" s="11"/>
      <c r="AC37" s="11"/>
      <c r="AD37" s="11"/>
    </row>
    <row r="38" spans="1:30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  <c r="AD38" s="11"/>
    </row>
    <row r="39" spans="1:30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  <c r="AD39" s="11"/>
    </row>
    <row r="40" spans="1:30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53" t="s">
        <v>66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11"/>
      <c r="L42" s="55"/>
      <c r="M42" s="11"/>
      <c r="N42" s="11"/>
      <c r="O42" s="55"/>
      <c r="P42" s="11"/>
      <c r="Q42" s="11"/>
      <c r="R42" s="55"/>
      <c r="S42" s="11"/>
      <c r="T42" s="11"/>
      <c r="U42" s="55"/>
      <c r="V42" s="11"/>
      <c r="W42" s="11"/>
      <c r="X42" s="55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21" t="s">
        <v>20</v>
      </c>
      <c r="C43" s="56">
        <f>Base!C43+(D43/10000)</f>
        <v>0.53035080000000001</v>
      </c>
      <c r="D43" s="68">
        <v>-200</v>
      </c>
      <c r="E43" s="21" t="s">
        <v>20</v>
      </c>
      <c r="F43" s="56">
        <f>Base!F43+(G43/10000)</f>
        <v>2.571704E-2</v>
      </c>
      <c r="G43" s="68">
        <v>-200</v>
      </c>
      <c r="H43" s="100"/>
      <c r="I43" s="110"/>
      <c r="J43" s="111"/>
      <c r="K43" s="11"/>
      <c r="L43" s="58"/>
      <c r="M43" s="11"/>
      <c r="N43" s="11"/>
      <c r="O43" s="58"/>
      <c r="P43" s="11"/>
      <c r="Q43" s="59"/>
      <c r="R43" s="26"/>
      <c r="S43" s="11"/>
      <c r="T43" s="26"/>
      <c r="U43" s="26"/>
      <c r="V43" s="11"/>
      <c r="W43" s="26"/>
      <c r="X43" s="26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21" t="s">
        <v>21</v>
      </c>
      <c r="C44" s="56">
        <f>Base!C44+(D44/10000)</f>
        <v>0.51446069999999999</v>
      </c>
      <c r="D44" s="68">
        <v>-200</v>
      </c>
      <c r="E44" s="21" t="s">
        <v>21</v>
      </c>
      <c r="F44" s="56">
        <f>Base!F44+(G44/10000)</f>
        <v>2.5654550000000002E-2</v>
      </c>
      <c r="G44" s="68">
        <v>-200</v>
      </c>
      <c r="H44" s="100"/>
      <c r="I44" s="110"/>
      <c r="J44" s="111"/>
      <c r="K44" s="11"/>
      <c r="L44" s="58"/>
      <c r="M44" s="11"/>
      <c r="N44" s="11"/>
      <c r="O44" s="58"/>
      <c r="P44" s="11"/>
      <c r="Q44" s="59"/>
      <c r="R44" s="26"/>
      <c r="S44" s="11"/>
      <c r="T44" s="26"/>
      <c r="U44" s="26"/>
      <c r="V44" s="11"/>
      <c r="W44" s="26"/>
      <c r="X44" s="26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21" t="s">
        <v>22</v>
      </c>
      <c r="C45" s="56">
        <f>Base!C45+(D45/10000)</f>
        <v>0.49216413333333298</v>
      </c>
      <c r="D45" s="68">
        <v>-200</v>
      </c>
      <c r="E45" s="21" t="s">
        <v>22</v>
      </c>
      <c r="F45" s="56">
        <f>Base!F45+(G45/10000)</f>
        <v>2.5585399999999998E-2</v>
      </c>
      <c r="G45" s="68">
        <v>-200</v>
      </c>
      <c r="H45" s="100"/>
      <c r="I45" s="110"/>
      <c r="J45" s="111"/>
      <c r="K45" s="11"/>
      <c r="L45" s="58"/>
      <c r="M45" s="11"/>
      <c r="N45" s="11"/>
      <c r="O45" s="58"/>
      <c r="P45" s="11"/>
      <c r="Q45" s="59"/>
      <c r="R45" s="26"/>
      <c r="S45" s="11"/>
      <c r="T45" s="26"/>
      <c r="U45" s="26"/>
      <c r="V45" s="11"/>
      <c r="W45" s="26"/>
      <c r="X45" s="26"/>
      <c r="Y45" s="11"/>
      <c r="Z45" s="11"/>
      <c r="AA45" s="11"/>
      <c r="AB45" s="11"/>
      <c r="AC45" s="11"/>
      <c r="AD45" s="11"/>
    </row>
    <row r="46" spans="1:30" ht="15.75" customHeight="1" x14ac:dyDescent="0.25">
      <c r="A46" s="60"/>
      <c r="B46" s="21" t="s">
        <v>23</v>
      </c>
      <c r="C46" s="56">
        <f>Base!C46+(D46/10000)</f>
        <v>0.46788369999999996</v>
      </c>
      <c r="D46" s="68">
        <v>-200</v>
      </c>
      <c r="E46" s="21" t="s">
        <v>23</v>
      </c>
      <c r="F46" s="56">
        <f>Base!F46+(G46/10000)</f>
        <v>2.5516250000000001E-2</v>
      </c>
      <c r="G46" s="68">
        <v>-200</v>
      </c>
      <c r="H46" s="100"/>
      <c r="I46" s="110"/>
      <c r="J46" s="111"/>
      <c r="K46" s="11"/>
      <c r="L46" s="58"/>
      <c r="M46" s="11"/>
      <c r="N46" s="11"/>
      <c r="O46" s="58"/>
      <c r="P46" s="11"/>
      <c r="Q46" s="59"/>
      <c r="R46" s="26"/>
      <c r="S46" s="11"/>
      <c r="T46" s="26"/>
      <c r="U46" s="26"/>
      <c r="V46" s="11"/>
      <c r="W46" s="26"/>
      <c r="X46" s="26"/>
      <c r="Y46" s="11"/>
      <c r="Z46" s="11"/>
      <c r="AA46" s="11"/>
      <c r="AB46" s="11"/>
      <c r="AC46" s="11"/>
      <c r="AD46" s="11"/>
    </row>
    <row r="47" spans="1:30" ht="15.75" customHeight="1" x14ac:dyDescent="0.25">
      <c r="A47" s="60"/>
      <c r="B47" s="25" t="s">
        <v>24</v>
      </c>
      <c r="C47" s="56">
        <f>Base!C47+(D47/10000)</f>
        <v>0.37798235945945896</v>
      </c>
      <c r="D47" s="68">
        <v>-200</v>
      </c>
      <c r="E47" s="25" t="s">
        <v>24</v>
      </c>
      <c r="F47" s="56">
        <f>Base!F47+(G47/10000)</f>
        <v>1.7316849999999998E-2</v>
      </c>
      <c r="G47" s="68">
        <v>-200</v>
      </c>
      <c r="H47" s="104"/>
      <c r="I47" s="110"/>
      <c r="J47" s="111"/>
      <c r="K47" s="11"/>
      <c r="L47" s="58"/>
      <c r="M47" s="11"/>
      <c r="N47" s="11"/>
      <c r="O47" s="58"/>
      <c r="P47" s="11"/>
      <c r="Q47" s="59"/>
      <c r="R47" s="26"/>
      <c r="S47" s="11"/>
      <c r="T47" s="26"/>
      <c r="U47" s="26"/>
      <c r="V47" s="11"/>
      <c r="W47" s="26"/>
      <c r="X47" s="26"/>
      <c r="Y47" s="11"/>
      <c r="Z47" s="11"/>
      <c r="AA47" s="11"/>
      <c r="AB47" s="11"/>
      <c r="AC47" s="11"/>
      <c r="AD47" s="11"/>
    </row>
    <row r="48" spans="1:30" ht="15.75" customHeight="1" x14ac:dyDescent="0.25">
      <c r="A48" s="60"/>
      <c r="B48" s="25" t="s">
        <v>25</v>
      </c>
      <c r="C48" s="56">
        <f>Base!C48+(D48/10000)</f>
        <v>0.31635099999999999</v>
      </c>
      <c r="D48" s="68">
        <v>-200</v>
      </c>
      <c r="E48" s="25" t="s">
        <v>25</v>
      </c>
      <c r="F48" s="56">
        <f>Base!F48+(G48/10000)</f>
        <v>1.6322340000000001E-2</v>
      </c>
      <c r="G48" s="68">
        <v>-200</v>
      </c>
      <c r="H48" s="104"/>
      <c r="I48" s="110"/>
      <c r="J48" s="111"/>
      <c r="K48" s="11"/>
      <c r="L48" s="58"/>
      <c r="M48" s="11"/>
      <c r="N48" s="11"/>
      <c r="O48" s="58"/>
      <c r="P48" s="11"/>
      <c r="Q48" s="59"/>
      <c r="R48" s="26"/>
      <c r="S48" s="11"/>
      <c r="T48" s="26"/>
      <c r="U48" s="26"/>
      <c r="V48" s="11"/>
      <c r="W48" s="26"/>
      <c r="X48" s="26"/>
      <c r="Y48" s="11"/>
      <c r="Z48" s="11"/>
      <c r="AA48" s="11"/>
      <c r="AB48" s="11"/>
      <c r="AC48" s="11"/>
      <c r="AD48" s="11"/>
    </row>
    <row r="49" spans="1:30" ht="15.75" customHeight="1" x14ac:dyDescent="0.25">
      <c r="A49" s="60"/>
      <c r="B49" s="25" t="s">
        <v>26</v>
      </c>
      <c r="C49" s="56">
        <f>Base!C49+(D49/10000)</f>
        <v>0.31635099999999999</v>
      </c>
      <c r="D49" s="68">
        <v>-200</v>
      </c>
      <c r="E49" s="25" t="s">
        <v>26</v>
      </c>
      <c r="F49" s="56">
        <f>Base!F49+(G49/10000)</f>
        <v>1.6526740000000002E-2</v>
      </c>
      <c r="G49" s="68">
        <v>-200</v>
      </c>
      <c r="H49" s="104"/>
      <c r="I49" s="110"/>
      <c r="J49" s="111"/>
      <c r="K49" s="11"/>
      <c r="L49" s="58"/>
      <c r="M49" s="11"/>
      <c r="N49" s="11"/>
      <c r="O49" s="58"/>
      <c r="P49" s="11"/>
      <c r="Q49" s="59"/>
      <c r="R49" s="26"/>
      <c r="S49" s="11"/>
      <c r="T49" s="26"/>
      <c r="U49" s="26"/>
      <c r="V49" s="11"/>
      <c r="W49" s="26"/>
      <c r="X49" s="26"/>
      <c r="Y49" s="11"/>
      <c r="Z49" s="11"/>
      <c r="AA49" s="11"/>
      <c r="AB49" s="11"/>
      <c r="AC49" s="11"/>
      <c r="AD49" s="11"/>
    </row>
    <row r="50" spans="1:30" ht="15.75" customHeight="1" x14ac:dyDescent="0.25">
      <c r="A50" s="60"/>
      <c r="B50" s="25" t="s">
        <v>27</v>
      </c>
      <c r="C50" s="56">
        <f>Base!C50+(D50/10000)</f>
        <v>0.31635099999999999</v>
      </c>
      <c r="D50" s="68">
        <v>-200</v>
      </c>
      <c r="E50" s="25" t="s">
        <v>27</v>
      </c>
      <c r="F50" s="56">
        <f>Base!F50+(G50/10000)</f>
        <v>1.6731140000000002E-2</v>
      </c>
      <c r="G50" s="68">
        <v>-200</v>
      </c>
      <c r="H50" s="104"/>
      <c r="I50" s="110"/>
      <c r="J50" s="111"/>
      <c r="K50" s="11"/>
      <c r="L50" s="58"/>
      <c r="M50" s="11"/>
      <c r="N50" s="11"/>
      <c r="O50" s="58"/>
      <c r="P50" s="11"/>
      <c r="Q50" s="59"/>
      <c r="R50" s="26"/>
      <c r="S50" s="11"/>
      <c r="T50" s="26"/>
      <c r="U50" s="26"/>
      <c r="V50" s="11"/>
      <c r="W50" s="26"/>
      <c r="X50" s="26"/>
      <c r="Y50" s="11"/>
      <c r="Z50" s="11"/>
      <c r="AA50" s="11"/>
      <c r="AB50" s="11"/>
      <c r="AC50" s="11"/>
      <c r="AD50" s="11"/>
    </row>
    <row r="51" spans="1:30" ht="15.75" customHeight="1" x14ac:dyDescent="0.25">
      <c r="A51" s="60"/>
      <c r="B51" s="25" t="s">
        <v>28</v>
      </c>
      <c r="C51" s="56">
        <f>Base!C51+(D51/10000)</f>
        <v>0.31635099999999999</v>
      </c>
      <c r="D51" s="68">
        <v>-200</v>
      </c>
      <c r="E51" s="25" t="s">
        <v>28</v>
      </c>
      <c r="F51" s="56">
        <f>Base!F51+(G51/10000)</f>
        <v>1.748224E-2</v>
      </c>
      <c r="G51" s="68">
        <v>-200</v>
      </c>
      <c r="H51" s="104"/>
      <c r="I51" s="110"/>
      <c r="J51" s="111"/>
      <c r="K51" s="11"/>
      <c r="L51" s="58"/>
      <c r="M51" s="11"/>
      <c r="N51" s="11"/>
      <c r="O51" s="58"/>
      <c r="P51" s="11"/>
      <c r="Q51" s="59"/>
      <c r="R51" s="26"/>
      <c r="S51" s="11"/>
      <c r="T51" s="26"/>
      <c r="U51" s="26"/>
      <c r="V51" s="11"/>
      <c r="W51" s="26"/>
      <c r="X51" s="26"/>
      <c r="Y51" s="11"/>
      <c r="Z51" s="11"/>
      <c r="AA51" s="11"/>
      <c r="AB51" s="11"/>
      <c r="AC51" s="11"/>
      <c r="AD51" s="11"/>
    </row>
    <row r="52" spans="1:30" ht="15.75" customHeight="1" x14ac:dyDescent="0.25">
      <c r="A52" s="60"/>
      <c r="B52" s="25" t="s">
        <v>29</v>
      </c>
      <c r="C52" s="56">
        <f>Base!C52+(D52/10000)</f>
        <v>0.31635099999999999</v>
      </c>
      <c r="D52" s="68">
        <v>-200</v>
      </c>
      <c r="E52" s="25" t="s">
        <v>29</v>
      </c>
      <c r="F52" s="56">
        <f>Base!F52+(G52/10000)</f>
        <v>1.8233339999999997E-2</v>
      </c>
      <c r="G52" s="68">
        <v>-200</v>
      </c>
      <c r="H52" s="104"/>
      <c r="I52" s="110"/>
      <c r="J52" s="111"/>
      <c r="K52" s="11"/>
      <c r="L52" s="58"/>
      <c r="M52" s="11"/>
      <c r="N52" s="11"/>
      <c r="O52" s="58"/>
      <c r="P52" s="11"/>
      <c r="Q52" s="59"/>
      <c r="R52" s="26"/>
      <c r="S52" s="11"/>
      <c r="T52" s="26"/>
      <c r="U52" s="26"/>
      <c r="V52" s="11"/>
      <c r="W52" s="26"/>
      <c r="X52" s="26"/>
      <c r="Y52" s="11"/>
      <c r="Z52" s="11"/>
      <c r="AA52" s="11"/>
      <c r="AB52" s="11"/>
      <c r="AC52" s="11"/>
      <c r="AD52" s="11"/>
    </row>
    <row r="53" spans="1:30" ht="15.75" customHeight="1" x14ac:dyDescent="0.25">
      <c r="A53" s="52"/>
      <c r="B53" s="25" t="s">
        <v>30</v>
      </c>
      <c r="C53" s="56">
        <f>Base!C53+(D53/10000)</f>
        <v>0.31635099999999999</v>
      </c>
      <c r="D53" s="68">
        <v>-200</v>
      </c>
      <c r="E53" s="25" t="s">
        <v>30</v>
      </c>
      <c r="F53" s="56">
        <f>Base!F53+(G53/10000)</f>
        <v>1.9040726666666698E-2</v>
      </c>
      <c r="G53" s="68">
        <v>-200</v>
      </c>
      <c r="H53" s="104"/>
      <c r="I53" s="110"/>
      <c r="J53" s="111"/>
      <c r="K53" s="11"/>
      <c r="L53" s="58"/>
      <c r="M53" s="11"/>
      <c r="N53" s="11"/>
      <c r="O53" s="58"/>
      <c r="P53" s="11"/>
      <c r="Q53" s="59"/>
      <c r="R53" s="26"/>
      <c r="S53" s="11"/>
      <c r="T53" s="26"/>
      <c r="U53" s="26"/>
      <c r="V53" s="11"/>
      <c r="W53" s="26"/>
      <c r="X53" s="26"/>
      <c r="Y53" s="11"/>
      <c r="Z53" s="11"/>
      <c r="AA53" s="11"/>
      <c r="AB53" s="11"/>
      <c r="AC53" s="11"/>
      <c r="AD53" s="11"/>
    </row>
    <row r="54" spans="1:30" ht="15.75" customHeight="1" x14ac:dyDescent="0.25">
      <c r="A54" s="52"/>
      <c r="B54" s="25" t="s">
        <v>31</v>
      </c>
      <c r="C54" s="56">
        <f>Base!C54+(D54/10000)</f>
        <v>0.31635099999999999</v>
      </c>
      <c r="D54" s="68">
        <v>-200</v>
      </c>
      <c r="E54" s="25" t="s">
        <v>31</v>
      </c>
      <c r="F54" s="56">
        <f>Base!F54+(G54/10000)</f>
        <v>1.9848113333333302E-2</v>
      </c>
      <c r="G54" s="68">
        <v>-200</v>
      </c>
      <c r="H54" s="104"/>
      <c r="I54" s="110"/>
      <c r="J54" s="111"/>
      <c r="K54" s="11"/>
      <c r="L54" s="58"/>
      <c r="M54" s="11"/>
      <c r="N54" s="11"/>
      <c r="O54" s="58"/>
      <c r="P54" s="11"/>
      <c r="Q54" s="59"/>
      <c r="R54" s="26"/>
      <c r="S54" s="11"/>
      <c r="T54" s="26"/>
      <c r="U54" s="26"/>
      <c r="V54" s="11"/>
      <c r="W54" s="26"/>
      <c r="X54" s="26"/>
      <c r="Y54" s="11"/>
      <c r="Z54" s="11"/>
      <c r="AA54" s="11"/>
      <c r="AB54" s="11"/>
      <c r="AC54" s="11"/>
      <c r="AD54" s="11"/>
    </row>
    <row r="55" spans="1:30" ht="15.75" customHeight="1" x14ac:dyDescent="0.25">
      <c r="A55" s="52"/>
      <c r="B55" s="25" t="s">
        <v>32</v>
      </c>
      <c r="C55" s="56">
        <f>Base!C55+(D55/10000)</f>
        <v>0.31635099999999999</v>
      </c>
      <c r="D55" s="68">
        <v>-200</v>
      </c>
      <c r="E55" s="25" t="s">
        <v>32</v>
      </c>
      <c r="F55" s="56">
        <f>Base!F55+(G55/10000)</f>
        <v>2.0655499999999997E-2</v>
      </c>
      <c r="G55" s="68">
        <v>-200</v>
      </c>
      <c r="H55" s="104"/>
      <c r="I55" s="110"/>
      <c r="J55" s="111"/>
      <c r="K55" s="11"/>
      <c r="L55" s="58"/>
      <c r="M55" s="11"/>
      <c r="N55" s="11"/>
      <c r="O55" s="58"/>
      <c r="P55" s="11"/>
      <c r="Q55" s="59"/>
      <c r="R55" s="26"/>
      <c r="S55" s="11"/>
      <c r="T55" s="26"/>
      <c r="U55" s="26"/>
      <c r="V55" s="11"/>
      <c r="W55" s="26"/>
      <c r="X55" s="26"/>
      <c r="Y55" s="11"/>
      <c r="Z55" s="11"/>
      <c r="AA55" s="11"/>
      <c r="AB55" s="11"/>
      <c r="AC55" s="11"/>
      <c r="AD55" s="11"/>
    </row>
    <row r="56" spans="1:30" ht="15.75" customHeight="1" x14ac:dyDescent="0.25">
      <c r="A56" s="61"/>
      <c r="B56" s="25" t="s">
        <v>33</v>
      </c>
      <c r="C56" s="56">
        <f>Base!C56+(D56/10000)</f>
        <v>0.31635099999999999</v>
      </c>
      <c r="D56" s="68">
        <v>-200</v>
      </c>
      <c r="E56" s="25" t="s">
        <v>33</v>
      </c>
      <c r="F56" s="56">
        <f>Base!F56+(G56/10000)</f>
        <v>1.9928852E-2</v>
      </c>
      <c r="G56" s="68">
        <v>-200</v>
      </c>
      <c r="H56" s="104"/>
      <c r="I56" s="110"/>
      <c r="J56" s="111"/>
      <c r="K56" s="25"/>
      <c r="L56" s="58"/>
      <c r="M56" s="11"/>
      <c r="N56" s="11"/>
      <c r="O56" s="58"/>
      <c r="P56" s="11"/>
      <c r="Q56" s="59"/>
      <c r="R56" s="26"/>
      <c r="S56" s="11"/>
      <c r="T56" s="26"/>
      <c r="U56" s="26"/>
      <c r="V56" s="11"/>
      <c r="W56" s="26"/>
      <c r="X56" s="26"/>
      <c r="Y56" s="11"/>
      <c r="Z56" s="11"/>
      <c r="AA56" s="11"/>
      <c r="AB56" s="11"/>
      <c r="AC56" s="11"/>
      <c r="AD56" s="11"/>
    </row>
    <row r="57" spans="1:30" ht="15.75" customHeight="1" x14ac:dyDescent="0.25">
      <c r="A57" s="52"/>
      <c r="B57" s="25" t="s">
        <v>34</v>
      </c>
      <c r="C57" s="56">
        <f>Base!C57+(D57/10000)</f>
        <v>0.31635099999999999</v>
      </c>
      <c r="D57" s="68">
        <v>-200</v>
      </c>
      <c r="E57" s="25" t="s">
        <v>34</v>
      </c>
      <c r="F57" s="56">
        <f>Base!F57+(G57/10000)</f>
        <v>1.9202203999999997E-2</v>
      </c>
      <c r="G57" s="68">
        <v>-200</v>
      </c>
      <c r="H57" s="104"/>
      <c r="I57" s="110"/>
      <c r="J57" s="111"/>
      <c r="K57" s="25"/>
      <c r="L57" s="58"/>
      <c r="M57" s="11"/>
      <c r="N57" s="11"/>
      <c r="O57" s="58"/>
      <c r="P57" s="11"/>
      <c r="Q57" s="59"/>
      <c r="R57" s="26"/>
      <c r="S57" s="11"/>
      <c r="T57" s="26"/>
      <c r="U57" s="26"/>
      <c r="V57" s="11"/>
      <c r="W57" s="26"/>
      <c r="X57" s="26"/>
      <c r="Y57" s="11"/>
      <c r="Z57" s="11"/>
      <c r="AA57" s="11"/>
      <c r="AB57" s="11"/>
      <c r="AC57" s="11"/>
      <c r="AD57" s="11"/>
    </row>
    <row r="58" spans="1:30" ht="15.75" customHeight="1" x14ac:dyDescent="0.25">
      <c r="A58" s="52"/>
      <c r="B58" s="25" t="s">
        <v>35</v>
      </c>
      <c r="C58" s="56">
        <f>Base!C58+(D58/10000)</f>
        <v>0.31635099999999999</v>
      </c>
      <c r="D58" s="68">
        <v>-200</v>
      </c>
      <c r="E58" s="25" t="s">
        <v>35</v>
      </c>
      <c r="F58" s="56">
        <f>Base!F58+(G58/10000)</f>
        <v>2.0761002666666698E-2</v>
      </c>
      <c r="G58" s="68">
        <v>-200</v>
      </c>
      <c r="H58" s="104"/>
      <c r="I58" s="110"/>
      <c r="J58" s="111"/>
      <c r="K58" s="25"/>
      <c r="L58" s="58"/>
      <c r="M58" s="11"/>
      <c r="N58" s="11"/>
      <c r="O58" s="58"/>
      <c r="P58" s="11"/>
      <c r="Q58" s="59"/>
      <c r="R58" s="26"/>
      <c r="S58" s="11"/>
      <c r="T58" s="26"/>
      <c r="U58" s="26"/>
      <c r="V58" s="11"/>
      <c r="W58" s="26"/>
      <c r="X58" s="26"/>
      <c r="Y58" s="11"/>
      <c r="Z58" s="11"/>
      <c r="AA58" s="11"/>
      <c r="AB58" s="11"/>
      <c r="AC58" s="11"/>
      <c r="AD58" s="11"/>
    </row>
    <row r="59" spans="1:30" ht="15.75" customHeight="1" x14ac:dyDescent="0.25">
      <c r="A59" s="52"/>
      <c r="B59" s="25" t="s">
        <v>36</v>
      </c>
      <c r="C59" s="56">
        <f>Base!C59+(D59/10000)</f>
        <v>0.31635099999999999</v>
      </c>
      <c r="D59" s="68">
        <v>-200</v>
      </c>
      <c r="E59" s="25" t="s">
        <v>36</v>
      </c>
      <c r="F59" s="56">
        <f>Base!F59+(G59/10000)</f>
        <v>2.2319801333333302E-2</v>
      </c>
      <c r="G59" s="68">
        <v>-200</v>
      </c>
      <c r="H59" s="104"/>
      <c r="I59" s="110"/>
      <c r="J59" s="111"/>
      <c r="K59" s="25"/>
      <c r="L59" s="58"/>
      <c r="M59" s="11"/>
      <c r="N59" s="11"/>
      <c r="O59" s="58"/>
      <c r="P59" s="11"/>
      <c r="Q59" s="59"/>
      <c r="R59" s="26"/>
      <c r="S59" s="11"/>
      <c r="T59" s="26"/>
      <c r="U59" s="26"/>
      <c r="V59" s="11"/>
      <c r="W59" s="26"/>
      <c r="X59" s="26"/>
      <c r="Y59" s="11"/>
      <c r="Z59" s="11"/>
      <c r="AA59" s="11"/>
      <c r="AB59" s="11"/>
      <c r="AC59" s="11"/>
      <c r="AD59" s="11"/>
    </row>
    <row r="60" spans="1:30" ht="15.75" customHeight="1" x14ac:dyDescent="0.25">
      <c r="A60" s="52"/>
      <c r="B60" s="25" t="s">
        <v>37</v>
      </c>
      <c r="C60" s="56">
        <f>Base!C60+(D60/10000)</f>
        <v>0.31635099999999999</v>
      </c>
      <c r="D60" s="68">
        <v>-200</v>
      </c>
      <c r="E60" s="25" t="s">
        <v>37</v>
      </c>
      <c r="F60" s="56">
        <f>Base!F60+(G60/10000)</f>
        <v>2.3878599999999996E-2</v>
      </c>
      <c r="G60" s="68">
        <v>-200</v>
      </c>
      <c r="H60" s="104"/>
      <c r="I60" s="110"/>
      <c r="J60" s="111"/>
      <c r="K60" s="25"/>
      <c r="L60" s="58"/>
      <c r="M60" s="11"/>
      <c r="N60" s="11"/>
      <c r="O60" s="11"/>
      <c r="P60" s="11"/>
      <c r="Q60" s="26"/>
      <c r="R60" s="26"/>
      <c r="S60" s="11"/>
      <c r="T60" s="26"/>
      <c r="U60" s="26"/>
      <c r="V60" s="11"/>
      <c r="W60" s="26"/>
      <c r="X60" s="26"/>
      <c r="Y60" s="11"/>
      <c r="Z60" s="11"/>
      <c r="AA60" s="11"/>
      <c r="AB60" s="11"/>
      <c r="AC60" s="11"/>
      <c r="AD60" s="11"/>
    </row>
    <row r="61" spans="1:30" ht="15.75" customHeight="1" x14ac:dyDescent="0.25">
      <c r="A61" s="52"/>
      <c r="B61" s="25" t="s">
        <v>38</v>
      </c>
      <c r="C61" s="56">
        <f>Base!C61+(D61/10000)</f>
        <v>0.31635099999999999</v>
      </c>
      <c r="D61" s="68">
        <v>-200</v>
      </c>
      <c r="E61" s="25" t="s">
        <v>38</v>
      </c>
      <c r="F61" s="56">
        <f>Base!F61+(G61/10000)</f>
        <v>2.4169024000000001E-2</v>
      </c>
      <c r="G61" s="68">
        <v>-200</v>
      </c>
      <c r="H61" s="104"/>
      <c r="I61" s="110"/>
      <c r="J61" s="111"/>
      <c r="K61" s="25"/>
      <c r="L61" s="58"/>
      <c r="M61" s="11"/>
      <c r="N61" s="11"/>
      <c r="O61" s="11"/>
      <c r="P61" s="11"/>
      <c r="Q61" s="26"/>
      <c r="R61" s="26"/>
      <c r="S61" s="11"/>
      <c r="T61" s="26"/>
      <c r="U61" s="26"/>
      <c r="V61" s="11"/>
      <c r="W61" s="26"/>
      <c r="X61" s="26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25" t="s">
        <v>39</v>
      </c>
      <c r="C62" s="56">
        <f>Base!C62+(D62/10000)</f>
        <v>0.31635099999999999</v>
      </c>
      <c r="D62" s="68">
        <v>-200</v>
      </c>
      <c r="E62" s="25" t="s">
        <v>39</v>
      </c>
      <c r="F62" s="56">
        <f>Base!F62+(G62/10000)</f>
        <v>2.4459447999999998E-2</v>
      </c>
      <c r="G62" s="68">
        <v>-200</v>
      </c>
      <c r="H62" s="104"/>
      <c r="I62" s="110"/>
      <c r="J62" s="111"/>
      <c r="K62" s="62"/>
      <c r="L62" s="58"/>
      <c r="M62" s="11"/>
      <c r="N62" s="11"/>
      <c r="O62" s="11"/>
      <c r="P62" s="11"/>
      <c r="Q62" s="26"/>
      <c r="R62" s="26"/>
      <c r="S62" s="11"/>
      <c r="T62" s="26"/>
      <c r="U62" s="26"/>
      <c r="V62" s="11"/>
      <c r="W62" s="26"/>
      <c r="X62" s="26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25" t="s">
        <v>40</v>
      </c>
      <c r="C63" s="56">
        <f>Base!C63+(D63/10000)</f>
        <v>0.31635099999999999</v>
      </c>
      <c r="D63" s="68">
        <v>-200</v>
      </c>
      <c r="E63" s="25" t="s">
        <v>40</v>
      </c>
      <c r="F63" s="56">
        <f>Base!F63+(G63/10000)</f>
        <v>2.4749872000000003E-2</v>
      </c>
      <c r="G63" s="68">
        <v>-200</v>
      </c>
      <c r="H63" s="104"/>
      <c r="I63" s="110"/>
      <c r="J63" s="111"/>
      <c r="K63" s="62"/>
      <c r="L63" s="58"/>
      <c r="M63" s="11"/>
      <c r="N63" s="11"/>
      <c r="O63" s="11"/>
      <c r="P63" s="11"/>
      <c r="Q63" s="26"/>
      <c r="R63" s="26"/>
      <c r="S63" s="11"/>
      <c r="T63" s="26"/>
      <c r="U63" s="26"/>
      <c r="V63" s="11"/>
      <c r="W63" s="26"/>
      <c r="X63" s="26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25" t="s">
        <v>41</v>
      </c>
      <c r="C64" s="56">
        <f>Base!C64+(D64/10000)</f>
        <v>0.31635099999999999</v>
      </c>
      <c r="D64" s="68">
        <v>-200</v>
      </c>
      <c r="E64" s="25" t="s">
        <v>41</v>
      </c>
      <c r="F64" s="56">
        <f>Base!F64+(G64/10000)</f>
        <v>2.5040296E-2</v>
      </c>
      <c r="G64" s="68">
        <v>-200</v>
      </c>
      <c r="H64" s="104"/>
      <c r="I64" s="110"/>
      <c r="J64" s="111"/>
      <c r="K64" s="62"/>
      <c r="L64" s="58"/>
      <c r="M64" s="11"/>
      <c r="N64" s="11"/>
      <c r="O64" s="11"/>
      <c r="P64" s="11"/>
      <c r="Q64" s="26"/>
      <c r="R64" s="26"/>
      <c r="S64" s="11"/>
      <c r="T64" s="26"/>
      <c r="U64" s="26"/>
      <c r="V64" s="11"/>
      <c r="W64" s="26"/>
      <c r="X64" s="26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25" t="s">
        <v>42</v>
      </c>
      <c r="C65" s="56">
        <f>Base!C65+(D65/10000)</f>
        <v>0.31635099999999999</v>
      </c>
      <c r="D65" s="68">
        <v>-200</v>
      </c>
      <c r="E65" s="25" t="s">
        <v>42</v>
      </c>
      <c r="F65" s="56">
        <f>Base!F65+(G65/10000)</f>
        <v>2.5330719999999998E-2</v>
      </c>
      <c r="G65" s="68">
        <v>-200</v>
      </c>
      <c r="H65" s="104"/>
      <c r="I65" s="110"/>
      <c r="J65" s="1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25" t="s">
        <v>43</v>
      </c>
      <c r="C66" s="56">
        <f>Base!C66+(D66/10000)</f>
        <v>0.31635099999999999</v>
      </c>
      <c r="D66" s="68">
        <v>-200</v>
      </c>
      <c r="E66" s="25" t="s">
        <v>43</v>
      </c>
      <c r="F66" s="56">
        <f>Base!F66+(G66/10000)</f>
        <v>2.5330719999999998E-2</v>
      </c>
      <c r="G66" s="68">
        <v>-200</v>
      </c>
      <c r="H66" s="104"/>
      <c r="I66" s="110"/>
      <c r="J66" s="1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25" t="s">
        <v>44</v>
      </c>
      <c r="C67" s="56">
        <f>Base!C67+(D67/10000)</f>
        <v>0.31635099999999999</v>
      </c>
      <c r="D67" s="68">
        <v>-200</v>
      </c>
      <c r="E67" s="25" t="s">
        <v>44</v>
      </c>
      <c r="F67" s="56">
        <f>Base!F67+(G67/10000)</f>
        <v>2.5330719999999998E-2</v>
      </c>
      <c r="G67" s="68">
        <v>-200</v>
      </c>
      <c r="H67" s="104"/>
      <c r="I67" s="110"/>
      <c r="J67" s="1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25" t="s">
        <v>45</v>
      </c>
      <c r="C68" s="56">
        <f>Base!C68+(D68/10000)</f>
        <v>0.31635099999999999</v>
      </c>
      <c r="D68" s="68">
        <v>-200</v>
      </c>
      <c r="E68" s="25" t="s">
        <v>45</v>
      </c>
      <c r="F68" s="56">
        <f>Base!F68+(G68/10000)</f>
        <v>2.5330719999999998E-2</v>
      </c>
      <c r="G68" s="68">
        <v>-200</v>
      </c>
      <c r="H68" s="104"/>
      <c r="I68" s="110"/>
      <c r="J68" s="1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25" t="s">
        <v>46</v>
      </c>
      <c r="C69" s="56">
        <f>Base!C69+(D69/10000)</f>
        <v>0.31635099999999999</v>
      </c>
      <c r="D69" s="68">
        <v>-200</v>
      </c>
      <c r="E69" s="25" t="s">
        <v>46</v>
      </c>
      <c r="F69" s="56">
        <f>Base!F69+(G69/10000)</f>
        <v>2.5330719999999998E-2</v>
      </c>
      <c r="G69" s="68">
        <v>-200</v>
      </c>
      <c r="H69" s="104"/>
      <c r="I69" s="110"/>
      <c r="J69" s="1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25" t="s">
        <v>47</v>
      </c>
      <c r="C70" s="56">
        <f>Base!C70+(D70/10000)</f>
        <v>0.31635099999999999</v>
      </c>
      <c r="D70" s="68">
        <v>-200</v>
      </c>
      <c r="E70" s="25" t="s">
        <v>47</v>
      </c>
      <c r="F70" s="56">
        <f>Base!F70+(G70/10000)</f>
        <v>2.5330719999999998E-2</v>
      </c>
      <c r="G70" s="68">
        <v>-200</v>
      </c>
      <c r="H70" s="104"/>
      <c r="I70" s="110"/>
      <c r="J70" s="1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63"/>
      <c r="G125" s="63"/>
      <c r="H125" s="63"/>
      <c r="I125" s="63"/>
      <c r="J125" s="63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63"/>
      <c r="G126" s="63"/>
      <c r="H126" s="63"/>
      <c r="I126" s="63"/>
      <c r="J126" s="63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/>
    <row r="263" spans="1:30" ht="15.75" customHeight="1" x14ac:dyDescent="0.25"/>
    <row r="264" spans="1:30" ht="15.75" customHeight="1" x14ac:dyDescent="0.25"/>
    <row r="265" spans="1:30" ht="15.75" customHeight="1" x14ac:dyDescent="0.25"/>
    <row r="266" spans="1:30" ht="15.75" customHeight="1" x14ac:dyDescent="0.25"/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29:F29">
    <cfRule type="cellIs" dxfId="11" priority="1" operator="equal">
      <formula>"TRUE"</formula>
    </cfRule>
  </conditionalFormatting>
  <conditionalFormatting sqref="C10:H10">
    <cfRule type="cellIs" dxfId="10" priority="2" operator="equal">
      <formula>"TRUE"</formula>
    </cfRule>
  </conditionalFormatting>
  <conditionalFormatting sqref="G22:H28 J22:N28">
    <cfRule type="cellIs" dxfId="9" priority="3" operator="equal">
      <formula>"TRUE"</formula>
    </cfRule>
  </conditionalFormatting>
  <conditionalFormatting sqref="K10:N10">
    <cfRule type="cellIs" dxfId="8" priority="4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D1000"/>
  <sheetViews>
    <sheetView showGridLines="0" topLeftCell="A34" workbookViewId="0">
      <selection activeCell="C43" sqref="C43"/>
    </sheetView>
  </sheetViews>
  <sheetFormatPr baseColWidth="10" defaultColWidth="12.6328125" defaultRowHeight="15" customHeight="1" x14ac:dyDescent="0.25"/>
  <cols>
    <col min="1" max="1" width="32.453125" customWidth="1"/>
    <col min="2" max="3" width="10.453125" customWidth="1"/>
    <col min="4" max="4" width="6.90625" customWidth="1"/>
    <col min="5" max="6" width="10.453125" customWidth="1"/>
    <col min="7" max="7" width="6.90625" customWidth="1"/>
    <col min="8" max="9" width="10.453125" customWidth="1"/>
    <col min="10" max="10" width="6.90625" customWidth="1"/>
    <col min="11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30" width="23.08984375" customWidth="1"/>
  </cols>
  <sheetData>
    <row r="1" spans="1:30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  <c r="AD5" s="11"/>
    </row>
    <row r="6" spans="1:30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  <c r="AD6" s="11"/>
    </row>
    <row r="7" spans="1:30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" x14ac:dyDescent="0.25">
      <c r="A8" s="27"/>
      <c r="B8" s="2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  <c r="AD8" s="32"/>
    </row>
    <row r="9" spans="1:30" ht="14" x14ac:dyDescent="0.25">
      <c r="A9" s="33"/>
      <c r="B9" s="28"/>
      <c r="C9" s="29"/>
      <c r="D9" s="29"/>
      <c r="E9" s="29"/>
      <c r="F9" s="29"/>
      <c r="G9" s="30"/>
      <c r="H9" s="30"/>
      <c r="I9" s="31"/>
      <c r="J9" s="28"/>
      <c r="K9" s="29"/>
      <c r="L9" s="29"/>
      <c r="M9" s="29"/>
      <c r="N9" s="29"/>
      <c r="O9" s="36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  <c r="AD9" s="38"/>
    </row>
    <row r="10" spans="1:30" ht="14" x14ac:dyDescent="0.3">
      <c r="A10" s="33"/>
      <c r="B10" s="34"/>
      <c r="C10" s="35"/>
      <c r="D10" s="35"/>
      <c r="E10" s="35"/>
      <c r="F10" s="35"/>
      <c r="G10" s="35"/>
      <c r="H10" s="35"/>
      <c r="I10" s="31"/>
      <c r="J10" s="34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  <c r="AD10" s="38"/>
    </row>
    <row r="11" spans="1:30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  <c r="AD11" s="38"/>
    </row>
    <row r="12" spans="1:30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  <c r="AD12" s="38"/>
    </row>
    <row r="13" spans="1:30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  <c r="AD13" s="38"/>
    </row>
    <row r="14" spans="1:30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  <c r="AD14" s="38"/>
    </row>
    <row r="15" spans="1:30" ht="14" x14ac:dyDescent="0.25">
      <c r="A15" s="33"/>
      <c r="B15" s="31"/>
      <c r="C15" s="36"/>
      <c r="D15" s="36"/>
      <c r="E15" s="36"/>
      <c r="F15" s="36"/>
      <c r="G15" s="36"/>
      <c r="H15" s="36"/>
      <c r="I15" s="31"/>
      <c r="J15" s="31"/>
      <c r="K15" s="36"/>
      <c r="L15" s="36"/>
      <c r="M15" s="36"/>
      <c r="N15" s="36"/>
      <c r="O15" s="39"/>
      <c r="P15" s="39"/>
      <c r="Q15" s="39"/>
      <c r="R15" s="39"/>
      <c r="S15" s="39"/>
      <c r="T15" s="39"/>
      <c r="U15" s="39"/>
      <c r="V15" s="39"/>
      <c r="W15" s="39"/>
      <c r="X15" s="40"/>
      <c r="Y15" s="40"/>
      <c r="Z15" s="40"/>
      <c r="AA15" s="40"/>
      <c r="AB15" s="40"/>
      <c r="AC15" s="40"/>
      <c r="AD15" s="40"/>
    </row>
    <row r="16" spans="1:30" ht="14" x14ac:dyDescent="0.25">
      <c r="A16" s="33"/>
      <c r="B16" s="31"/>
      <c r="C16" s="36"/>
      <c r="D16" s="36"/>
      <c r="E16" s="36"/>
      <c r="F16" s="36"/>
      <c r="G16" s="39"/>
      <c r="H16" s="39"/>
      <c r="I16" s="31"/>
      <c r="J16" s="31"/>
      <c r="K16" s="36"/>
      <c r="L16" s="36"/>
      <c r="M16" s="36"/>
      <c r="N16" s="36"/>
      <c r="O16" s="30"/>
      <c r="P16" s="30"/>
      <c r="Q16" s="30"/>
      <c r="R16" s="30"/>
      <c r="S16" s="30"/>
      <c r="T16" s="30"/>
      <c r="U16" s="30"/>
      <c r="V16" s="30"/>
      <c r="W16" s="30"/>
      <c r="X16" s="32"/>
      <c r="Y16" s="32"/>
      <c r="Z16" s="32"/>
      <c r="AA16" s="32"/>
      <c r="AB16" s="32"/>
      <c r="AC16" s="32"/>
      <c r="AD16" s="32"/>
    </row>
    <row r="17" spans="1:30" ht="14" x14ac:dyDescent="0.25">
      <c r="A17" s="41"/>
      <c r="B17" s="31"/>
      <c r="C17" s="36"/>
      <c r="D17" s="36"/>
      <c r="E17" s="36"/>
      <c r="F17" s="36"/>
      <c r="G17" s="30"/>
      <c r="H17" s="30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0"/>
      <c r="Y17" s="40"/>
      <c r="Z17" s="40"/>
      <c r="AA17" s="40"/>
      <c r="AB17" s="40"/>
      <c r="AC17" s="40"/>
      <c r="AD17" s="40"/>
    </row>
    <row r="18" spans="1:30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0"/>
      <c r="Y18" s="40"/>
      <c r="Z18" s="40"/>
      <c r="AA18" s="40"/>
      <c r="AB18" s="40"/>
      <c r="AC18" s="40"/>
      <c r="AD18" s="40"/>
    </row>
    <row r="19" spans="1:30" ht="14" x14ac:dyDescent="0.25">
      <c r="A19" s="40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0"/>
      <c r="Y19" s="40"/>
      <c r="Z19" s="40"/>
      <c r="AA19" s="40"/>
      <c r="AB19" s="40"/>
      <c r="AC19" s="40"/>
      <c r="AD19" s="40"/>
    </row>
    <row r="20" spans="1:30" ht="14" x14ac:dyDescent="0.25">
      <c r="A20" s="40"/>
      <c r="B20" s="31"/>
      <c r="C20" s="36"/>
      <c r="D20" s="36"/>
      <c r="E20" s="36"/>
      <c r="F20" s="36"/>
      <c r="G20" s="36"/>
      <c r="H20" s="36"/>
      <c r="I20" s="31"/>
      <c r="J20" s="31"/>
      <c r="K20" s="36"/>
      <c r="L20" s="36"/>
      <c r="M20" s="36"/>
      <c r="N20" s="36"/>
      <c r="O20" s="42"/>
      <c r="P20" s="42"/>
      <c r="Q20" s="42"/>
      <c r="R20" s="42"/>
      <c r="S20" s="42"/>
      <c r="T20" s="42"/>
      <c r="U20" s="42"/>
      <c r="V20" s="42"/>
      <c r="W20" s="42"/>
      <c r="X20" s="40"/>
      <c r="Y20" s="40"/>
      <c r="Z20" s="40"/>
      <c r="AA20" s="40"/>
      <c r="AB20" s="40"/>
      <c r="AC20" s="40"/>
      <c r="AD20" s="40"/>
    </row>
    <row r="21" spans="1:30" ht="15.75" customHeight="1" x14ac:dyDescent="0.25">
      <c r="A21" s="40"/>
      <c r="B21" s="31"/>
      <c r="C21" s="36"/>
      <c r="D21" s="36"/>
      <c r="E21" s="36"/>
      <c r="F21" s="36"/>
      <c r="G21" s="36"/>
      <c r="H21" s="36"/>
      <c r="I21" s="31"/>
      <c r="J21" s="31"/>
      <c r="K21" s="36"/>
      <c r="L21" s="36"/>
      <c r="M21" s="36"/>
      <c r="N21" s="36"/>
      <c r="O21" s="42"/>
      <c r="P21" s="42"/>
      <c r="Q21" s="42"/>
      <c r="R21" s="42"/>
      <c r="S21" s="42"/>
      <c r="T21" s="42"/>
      <c r="U21" s="42"/>
      <c r="V21" s="42"/>
      <c r="W21" s="42"/>
      <c r="X21" s="40"/>
      <c r="Y21" s="40"/>
      <c r="Z21" s="40"/>
      <c r="AA21" s="40"/>
      <c r="AB21" s="40"/>
      <c r="AC21" s="40"/>
      <c r="AD21" s="40"/>
    </row>
    <row r="22" spans="1:30" ht="15.75" customHeight="1" x14ac:dyDescent="0.25">
      <c r="A22" s="40"/>
      <c r="B22" s="31"/>
      <c r="C22" s="36"/>
      <c r="D22" s="36"/>
      <c r="E22" s="36"/>
      <c r="F22" s="36"/>
      <c r="G22" s="36"/>
      <c r="H22" s="36"/>
      <c r="I22" s="31"/>
      <c r="J22" s="31"/>
      <c r="K22" s="36"/>
      <c r="L22" s="36"/>
      <c r="M22" s="36"/>
      <c r="N22" s="36"/>
      <c r="O22" s="42"/>
      <c r="P22" s="42"/>
      <c r="Q22" s="42"/>
      <c r="R22" s="42"/>
      <c r="S22" s="42"/>
      <c r="T22" s="42"/>
      <c r="U22" s="42"/>
      <c r="V22" s="42"/>
      <c r="W22" s="42"/>
      <c r="X22" s="40"/>
      <c r="Y22" s="40"/>
      <c r="Z22" s="40"/>
      <c r="AA22" s="40"/>
      <c r="AB22" s="40"/>
      <c r="AC22" s="40"/>
      <c r="AD22" s="40"/>
    </row>
    <row r="23" spans="1:30" ht="15.75" customHeight="1" x14ac:dyDescent="0.25">
      <c r="A23" s="40"/>
      <c r="B23" s="31"/>
      <c r="C23" s="36"/>
      <c r="D23" s="36"/>
      <c r="E23" s="36"/>
      <c r="F23" s="36"/>
      <c r="G23" s="36"/>
      <c r="H23" s="36"/>
      <c r="I23" s="31"/>
      <c r="J23" s="31"/>
      <c r="K23" s="36"/>
      <c r="L23" s="36"/>
      <c r="M23" s="36"/>
      <c r="N23" s="36"/>
      <c r="O23" s="42"/>
      <c r="P23" s="42"/>
      <c r="Q23" s="42"/>
      <c r="R23" s="42"/>
      <c r="S23" s="42"/>
      <c r="T23" s="42"/>
      <c r="U23" s="42"/>
      <c r="V23" s="42"/>
      <c r="W23" s="42"/>
      <c r="X23" s="40"/>
      <c r="Y23" s="40"/>
      <c r="Z23" s="40"/>
      <c r="AA23" s="40"/>
      <c r="AB23" s="40"/>
      <c r="AC23" s="40"/>
      <c r="AD23" s="40"/>
    </row>
    <row r="24" spans="1:30" ht="15.75" customHeight="1" x14ac:dyDescent="0.25">
      <c r="A24" s="40"/>
      <c r="B24" s="31"/>
      <c r="C24" s="36"/>
      <c r="D24" s="36"/>
      <c r="E24" s="36"/>
      <c r="F24" s="36"/>
      <c r="G24" s="36"/>
      <c r="H24" s="36"/>
      <c r="I24" s="31"/>
      <c r="J24" s="31"/>
      <c r="K24" s="36"/>
      <c r="L24" s="36"/>
      <c r="M24" s="36"/>
      <c r="N24" s="36"/>
      <c r="O24" s="42"/>
      <c r="P24" s="42"/>
      <c r="Q24" s="42"/>
      <c r="R24" s="42"/>
      <c r="S24" s="42"/>
      <c r="T24" s="42"/>
      <c r="U24" s="42"/>
      <c r="V24" s="42"/>
      <c r="W24" s="42"/>
      <c r="X24" s="40"/>
      <c r="Y24" s="40"/>
      <c r="Z24" s="40"/>
      <c r="AA24" s="40"/>
      <c r="AB24" s="40"/>
      <c r="AC24" s="40"/>
      <c r="AD24" s="40"/>
    </row>
    <row r="25" spans="1:30" ht="15.75" customHeight="1" x14ac:dyDescent="0.25">
      <c r="A25" s="40"/>
      <c r="B25" s="31"/>
      <c r="C25" s="36"/>
      <c r="D25" s="36"/>
      <c r="E25" s="36"/>
      <c r="F25" s="36"/>
      <c r="G25" s="36"/>
      <c r="H25" s="36"/>
      <c r="I25" s="31"/>
      <c r="J25" s="31"/>
      <c r="K25" s="36"/>
      <c r="L25" s="36"/>
      <c r="M25" s="36"/>
      <c r="N25" s="36"/>
      <c r="O25" s="42"/>
      <c r="P25" s="42"/>
      <c r="Q25" s="42"/>
      <c r="R25" s="42"/>
      <c r="S25" s="42"/>
      <c r="T25" s="42"/>
      <c r="U25" s="42"/>
      <c r="V25" s="42"/>
      <c r="W25" s="42"/>
      <c r="X25" s="40"/>
      <c r="Y25" s="40"/>
      <c r="Z25" s="40"/>
      <c r="AA25" s="40"/>
      <c r="AB25" s="40"/>
      <c r="AC25" s="40"/>
      <c r="AD25" s="40"/>
    </row>
    <row r="26" spans="1:30" ht="15.75" customHeight="1" x14ac:dyDescent="0.25">
      <c r="A26" s="40"/>
      <c r="B26" s="31"/>
      <c r="C26" s="36"/>
      <c r="D26" s="36"/>
      <c r="E26" s="36"/>
      <c r="F26" s="36"/>
      <c r="G26" s="36"/>
      <c r="H26" s="36"/>
      <c r="I26" s="31"/>
      <c r="J26" s="31"/>
      <c r="K26" s="36"/>
      <c r="L26" s="36"/>
      <c r="M26" s="36"/>
      <c r="N26" s="36"/>
      <c r="O26" s="42"/>
      <c r="P26" s="42"/>
      <c r="Q26" s="42"/>
      <c r="R26" s="42"/>
      <c r="S26" s="42"/>
      <c r="T26" s="42"/>
      <c r="U26" s="42"/>
      <c r="V26" s="42"/>
      <c r="W26" s="42"/>
      <c r="X26" s="40"/>
      <c r="Y26" s="40"/>
      <c r="Z26" s="40"/>
      <c r="AA26" s="40"/>
      <c r="AB26" s="40"/>
      <c r="AC26" s="40"/>
      <c r="AD26" s="40"/>
    </row>
    <row r="27" spans="1:30" ht="15.75" customHeight="1" x14ac:dyDescent="0.25">
      <c r="A27" s="40"/>
      <c r="B27" s="31"/>
      <c r="C27" s="31"/>
      <c r="D27" s="31"/>
      <c r="E27" s="31"/>
      <c r="F27" s="31"/>
      <c r="G27" s="36"/>
      <c r="H27" s="36"/>
      <c r="I27" s="31"/>
      <c r="J27" s="31"/>
      <c r="K27" s="36"/>
      <c r="L27" s="36"/>
      <c r="M27" s="36"/>
      <c r="N27" s="36"/>
      <c r="O27" s="42"/>
      <c r="P27" s="42"/>
      <c r="Q27" s="42"/>
      <c r="R27" s="42"/>
      <c r="S27" s="42"/>
      <c r="T27" s="42"/>
      <c r="U27" s="42"/>
      <c r="V27" s="42"/>
      <c r="W27" s="42"/>
      <c r="X27" s="40"/>
      <c r="Y27" s="40"/>
      <c r="Z27" s="40"/>
      <c r="AA27" s="40"/>
      <c r="AB27" s="40"/>
      <c r="AC27" s="40"/>
      <c r="AD27" s="40"/>
    </row>
    <row r="28" spans="1:30" ht="15.75" customHeight="1" x14ac:dyDescent="0.3">
      <c r="A28" s="40"/>
      <c r="B28" s="31"/>
      <c r="C28" s="29"/>
      <c r="D28" s="29"/>
      <c r="E28" s="29"/>
      <c r="F28" s="29"/>
      <c r="G28" s="35"/>
      <c r="H28" s="35"/>
      <c r="I28" s="31"/>
      <c r="J28" s="31"/>
      <c r="K28" s="36"/>
      <c r="L28" s="36"/>
      <c r="M28" s="36"/>
      <c r="N28" s="36"/>
      <c r="O28" s="42"/>
      <c r="P28" s="42"/>
      <c r="Q28" s="42"/>
      <c r="R28" s="42"/>
      <c r="S28" s="42"/>
      <c r="T28" s="42"/>
      <c r="U28" s="42"/>
      <c r="V28" s="42"/>
      <c r="W28" s="42"/>
      <c r="X28" s="40"/>
      <c r="Y28" s="40"/>
      <c r="Z28" s="40"/>
      <c r="AA28" s="40"/>
      <c r="AB28" s="40"/>
      <c r="AC28" s="40"/>
      <c r="AD28" s="40"/>
    </row>
    <row r="29" spans="1:30" ht="15.75" customHeight="1" x14ac:dyDescent="0.3">
      <c r="A29" s="40"/>
      <c r="B29" s="34"/>
      <c r="C29" s="35"/>
      <c r="D29" s="35"/>
      <c r="E29" s="35"/>
      <c r="F29" s="35"/>
      <c r="G29" s="42"/>
      <c r="H29" s="42"/>
      <c r="I29" s="31"/>
      <c r="J29" s="31"/>
      <c r="K29" s="36"/>
      <c r="L29" s="36"/>
      <c r="M29" s="36"/>
      <c r="N29" s="3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0"/>
      <c r="AB29" s="40"/>
      <c r="AC29" s="40"/>
      <c r="AD29" s="40"/>
    </row>
    <row r="30" spans="1:30" ht="15.75" customHeight="1" x14ac:dyDescent="0.25">
      <c r="A30" s="40"/>
      <c r="B30" s="31"/>
      <c r="C30" s="42"/>
      <c r="D30" s="42"/>
      <c r="E30" s="42"/>
      <c r="F30" s="42"/>
      <c r="G30" s="42"/>
      <c r="H30" s="42"/>
      <c r="I30" s="31"/>
      <c r="J30" s="31"/>
      <c r="K30" s="36"/>
      <c r="L30" s="36"/>
      <c r="M30" s="36"/>
      <c r="N30" s="36"/>
      <c r="O30" s="30"/>
      <c r="P30" s="30"/>
      <c r="Q30" s="30"/>
      <c r="R30" s="30"/>
      <c r="S30" s="30"/>
      <c r="T30" s="30"/>
      <c r="U30" s="30"/>
      <c r="V30" s="30"/>
      <c r="W30" s="30"/>
      <c r="X30" s="43"/>
      <c r="Y30" s="43"/>
      <c r="Z30" s="43"/>
      <c r="AA30" s="40"/>
      <c r="AB30" s="40"/>
      <c r="AC30" s="40"/>
      <c r="AD30" s="40"/>
    </row>
    <row r="31" spans="1:30" ht="15.75" customHeight="1" x14ac:dyDescent="0.25">
      <c r="A31" s="40"/>
      <c r="B31" s="31"/>
      <c r="C31" s="42"/>
      <c r="D31" s="42"/>
      <c r="E31" s="42"/>
      <c r="F31" s="42"/>
      <c r="G31" s="43"/>
      <c r="H31" s="43"/>
      <c r="I31" s="43"/>
      <c r="J31" s="43"/>
      <c r="K31" s="43"/>
      <c r="L31" s="43"/>
      <c r="M31" s="43"/>
      <c r="N31" s="43"/>
      <c r="O31" s="42"/>
      <c r="P31" s="42"/>
      <c r="Q31" s="42"/>
      <c r="R31" s="42"/>
      <c r="S31" s="42"/>
      <c r="T31" s="42"/>
      <c r="U31" s="42"/>
      <c r="V31" s="42"/>
      <c r="W31" s="42"/>
      <c r="X31" s="43"/>
      <c r="Y31" s="43"/>
      <c r="Z31" s="43"/>
      <c r="AA31" s="40"/>
      <c r="AB31" s="40"/>
      <c r="AC31" s="40"/>
      <c r="AD31" s="40"/>
    </row>
    <row r="32" spans="1:30" ht="15.75" customHeight="1" x14ac:dyDescent="0.25">
      <c r="A32" s="40"/>
      <c r="B32" s="29"/>
      <c r="C32" s="36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3"/>
      <c r="Y32" s="43"/>
      <c r="Z32" s="43"/>
      <c r="AA32" s="40"/>
      <c r="AB32" s="40"/>
      <c r="AC32" s="40"/>
      <c r="AD32" s="40"/>
    </row>
    <row r="33" spans="1:30" ht="15.75" customHeight="1" x14ac:dyDescent="0.25">
      <c r="A33" s="40"/>
      <c r="B33" s="2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43"/>
      <c r="Y33" s="43"/>
      <c r="Z33" s="43"/>
      <c r="AA33" s="40"/>
      <c r="AB33" s="40"/>
      <c r="AC33" s="40"/>
      <c r="AD33" s="40"/>
    </row>
    <row r="34" spans="1:30" ht="15.75" customHeight="1" x14ac:dyDescent="0.25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9"/>
      <c r="Y34" s="49"/>
      <c r="Z34" s="49"/>
      <c r="AA34" s="45"/>
      <c r="AB34" s="45"/>
      <c r="AC34" s="45"/>
      <c r="AD34" s="45"/>
    </row>
    <row r="35" spans="1:30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  <c r="AD35" s="45"/>
    </row>
    <row r="36" spans="1:30" ht="15.75" customHeight="1" x14ac:dyDescent="0.25">
      <c r="A36" s="45"/>
      <c r="B36" s="50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1"/>
      <c r="Y36" s="51"/>
      <c r="Z36" s="51"/>
      <c r="AA36" s="51"/>
      <c r="AB36" s="51"/>
      <c r="AC36" s="51"/>
      <c r="AD36" s="51"/>
    </row>
    <row r="37" spans="1:30" ht="15.75" customHeight="1" x14ac:dyDescent="0.25">
      <c r="A37" s="1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1"/>
      <c r="AB37" s="11"/>
      <c r="AC37" s="11"/>
      <c r="AD37" s="11"/>
    </row>
    <row r="38" spans="1:30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  <c r="AD38" s="11"/>
    </row>
    <row r="39" spans="1:30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  <c r="AD39" s="11"/>
    </row>
    <row r="40" spans="1:30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" customHeight="1" x14ac:dyDescent="0.25">
      <c r="A42" s="11"/>
      <c r="B42" s="53" t="s">
        <v>66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11"/>
      <c r="L42" s="55"/>
      <c r="M42" s="11"/>
      <c r="N42" s="11"/>
      <c r="O42" s="55"/>
      <c r="P42" s="11"/>
      <c r="Q42" s="11"/>
      <c r="R42" s="55"/>
      <c r="S42" s="11"/>
      <c r="T42" s="11"/>
      <c r="U42" s="55"/>
      <c r="V42" s="11"/>
      <c r="W42" s="11"/>
      <c r="X42" s="55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21" t="s">
        <v>20</v>
      </c>
      <c r="C43" s="56">
        <f>Base!C43+(D43/10000)</f>
        <v>0.59035080000000006</v>
      </c>
      <c r="D43" s="68">
        <v>400</v>
      </c>
      <c r="E43" s="21" t="s">
        <v>20</v>
      </c>
      <c r="F43" s="56">
        <f>Base!F43+(G43/10000)</f>
        <v>8.5717039999999994E-2</v>
      </c>
      <c r="G43" s="68">
        <v>400</v>
      </c>
      <c r="H43" s="100"/>
      <c r="I43" s="110"/>
      <c r="J43" s="111"/>
      <c r="K43" s="11"/>
      <c r="L43" s="58"/>
      <c r="M43" s="11"/>
      <c r="N43" s="11"/>
      <c r="O43" s="58"/>
      <c r="P43" s="11"/>
      <c r="Q43" s="59"/>
      <c r="R43" s="26"/>
      <c r="S43" s="11"/>
      <c r="T43" s="26"/>
      <c r="U43" s="26"/>
      <c r="V43" s="11"/>
      <c r="W43" s="26"/>
      <c r="X43" s="26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21" t="s">
        <v>21</v>
      </c>
      <c r="C44" s="56">
        <f>Base!C44+(D44/10000)</f>
        <v>0.57446070000000005</v>
      </c>
      <c r="D44" s="68">
        <v>400</v>
      </c>
      <c r="E44" s="21" t="s">
        <v>21</v>
      </c>
      <c r="F44" s="56">
        <f>Base!F44+(G44/10000)</f>
        <v>8.5654549999999996E-2</v>
      </c>
      <c r="G44" s="68">
        <v>400</v>
      </c>
      <c r="H44" s="100"/>
      <c r="I44" s="110"/>
      <c r="J44" s="111"/>
      <c r="K44" s="11"/>
      <c r="L44" s="58"/>
      <c r="M44" s="11"/>
      <c r="N44" s="11"/>
      <c r="O44" s="58"/>
      <c r="P44" s="11"/>
      <c r="Q44" s="59"/>
      <c r="R44" s="26"/>
      <c r="S44" s="11"/>
      <c r="T44" s="26"/>
      <c r="U44" s="26"/>
      <c r="V44" s="11"/>
      <c r="W44" s="26"/>
      <c r="X44" s="26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21" t="s">
        <v>22</v>
      </c>
      <c r="C45" s="56">
        <f>Base!C45+(D45/10000)</f>
        <v>0.55216413333333303</v>
      </c>
      <c r="D45" s="68">
        <v>400</v>
      </c>
      <c r="E45" s="21" t="s">
        <v>22</v>
      </c>
      <c r="F45" s="56">
        <f>Base!F45+(G45/10000)</f>
        <v>8.5585400000000006E-2</v>
      </c>
      <c r="G45" s="68">
        <v>400</v>
      </c>
      <c r="H45" s="100"/>
      <c r="I45" s="110"/>
      <c r="J45" s="111"/>
      <c r="K45" s="11"/>
      <c r="L45" s="58"/>
      <c r="M45" s="11"/>
      <c r="N45" s="11"/>
      <c r="O45" s="58"/>
      <c r="P45" s="11"/>
      <c r="Q45" s="59"/>
      <c r="R45" s="26"/>
      <c r="S45" s="11"/>
      <c r="T45" s="26"/>
      <c r="U45" s="26"/>
      <c r="V45" s="11"/>
      <c r="W45" s="26"/>
      <c r="X45" s="26"/>
      <c r="Y45" s="11"/>
      <c r="Z45" s="11"/>
      <c r="AA45" s="11"/>
      <c r="AB45" s="11"/>
      <c r="AC45" s="11"/>
      <c r="AD45" s="11"/>
    </row>
    <row r="46" spans="1:30" ht="15.75" customHeight="1" x14ac:dyDescent="0.25">
      <c r="A46" s="60"/>
      <c r="B46" s="21" t="s">
        <v>23</v>
      </c>
      <c r="C46" s="56">
        <f>Base!C46+(D46/10000)</f>
        <v>0.52788369999999996</v>
      </c>
      <c r="D46" s="68">
        <v>400</v>
      </c>
      <c r="E46" s="21" t="s">
        <v>23</v>
      </c>
      <c r="F46" s="56">
        <f>Base!F46+(G46/10000)</f>
        <v>8.5516250000000002E-2</v>
      </c>
      <c r="G46" s="68">
        <v>400</v>
      </c>
      <c r="H46" s="100"/>
      <c r="I46" s="110"/>
      <c r="J46" s="111"/>
      <c r="K46" s="11"/>
      <c r="L46" s="58"/>
      <c r="M46" s="11"/>
      <c r="N46" s="11"/>
      <c r="O46" s="58"/>
      <c r="P46" s="11"/>
      <c r="Q46" s="59"/>
      <c r="R46" s="26"/>
      <c r="S46" s="11"/>
      <c r="T46" s="26"/>
      <c r="U46" s="26"/>
      <c r="V46" s="11"/>
      <c r="W46" s="26"/>
      <c r="X46" s="26"/>
      <c r="Y46" s="11"/>
      <c r="Z46" s="11"/>
      <c r="AA46" s="11"/>
      <c r="AB46" s="11"/>
      <c r="AC46" s="11"/>
      <c r="AD46" s="11"/>
    </row>
    <row r="47" spans="1:30" ht="15.75" customHeight="1" x14ac:dyDescent="0.25">
      <c r="A47" s="60"/>
      <c r="B47" s="25" t="s">
        <v>24</v>
      </c>
      <c r="C47" s="56">
        <f>Base!C47+(D47/10000)</f>
        <v>0.43798235945945896</v>
      </c>
      <c r="D47" s="68">
        <v>400</v>
      </c>
      <c r="E47" s="25" t="s">
        <v>24</v>
      </c>
      <c r="F47" s="56">
        <f>Base!F47+(G47/10000)</f>
        <v>7.7316849999999993E-2</v>
      </c>
      <c r="G47" s="68">
        <v>400</v>
      </c>
      <c r="H47" s="104"/>
      <c r="I47" s="110"/>
      <c r="J47" s="111"/>
      <c r="K47" s="11"/>
      <c r="L47" s="58"/>
      <c r="M47" s="11"/>
      <c r="N47" s="11"/>
      <c r="O47" s="58"/>
      <c r="P47" s="11"/>
      <c r="Q47" s="59"/>
      <c r="R47" s="26"/>
      <c r="S47" s="11"/>
      <c r="T47" s="26"/>
      <c r="U47" s="26"/>
      <c r="V47" s="11"/>
      <c r="W47" s="26"/>
      <c r="X47" s="26"/>
      <c r="Y47" s="11"/>
      <c r="Z47" s="11"/>
      <c r="AA47" s="11"/>
      <c r="AB47" s="11"/>
      <c r="AC47" s="11"/>
      <c r="AD47" s="11"/>
    </row>
    <row r="48" spans="1:30" ht="15.75" customHeight="1" x14ac:dyDescent="0.25">
      <c r="A48" s="60"/>
      <c r="B48" s="25" t="s">
        <v>25</v>
      </c>
      <c r="C48" s="56">
        <f>Base!C48+(D48/10000)</f>
        <v>0.37635099999999999</v>
      </c>
      <c r="D48" s="68">
        <v>400</v>
      </c>
      <c r="E48" s="25" t="s">
        <v>25</v>
      </c>
      <c r="F48" s="56">
        <f>Base!F48+(G48/10000)</f>
        <v>7.6322340000000002E-2</v>
      </c>
      <c r="G48" s="68">
        <v>400</v>
      </c>
      <c r="H48" s="104"/>
      <c r="I48" s="110"/>
      <c r="J48" s="111"/>
      <c r="K48" s="11"/>
      <c r="L48" s="58"/>
      <c r="M48" s="11"/>
      <c r="N48" s="11"/>
      <c r="O48" s="58"/>
      <c r="P48" s="11"/>
      <c r="Q48" s="59"/>
      <c r="R48" s="26"/>
      <c r="S48" s="11"/>
      <c r="T48" s="26"/>
      <c r="U48" s="26"/>
      <c r="V48" s="11"/>
      <c r="W48" s="26"/>
      <c r="X48" s="26"/>
      <c r="Y48" s="11"/>
      <c r="Z48" s="11"/>
      <c r="AA48" s="11"/>
      <c r="AB48" s="11"/>
      <c r="AC48" s="11"/>
      <c r="AD48" s="11"/>
    </row>
    <row r="49" spans="1:30" ht="15.75" customHeight="1" x14ac:dyDescent="0.25">
      <c r="A49" s="60"/>
      <c r="B49" s="25" t="s">
        <v>26</v>
      </c>
      <c r="C49" s="56">
        <f>Base!C49+(D49/10000)</f>
        <v>0.37635099999999999</v>
      </c>
      <c r="D49" s="68">
        <v>400</v>
      </c>
      <c r="E49" s="25" t="s">
        <v>26</v>
      </c>
      <c r="F49" s="56">
        <f>Base!F49+(G49/10000)</f>
        <v>7.652674000000001E-2</v>
      </c>
      <c r="G49" s="68">
        <v>400</v>
      </c>
      <c r="H49" s="104"/>
      <c r="I49" s="110"/>
      <c r="J49" s="111"/>
      <c r="K49" s="11"/>
      <c r="L49" s="58"/>
      <c r="M49" s="11"/>
      <c r="N49" s="11"/>
      <c r="O49" s="58"/>
      <c r="P49" s="11"/>
      <c r="Q49" s="59"/>
      <c r="R49" s="26"/>
      <c r="S49" s="11"/>
      <c r="T49" s="26"/>
      <c r="U49" s="26"/>
      <c r="V49" s="11"/>
      <c r="W49" s="26"/>
      <c r="X49" s="26"/>
      <c r="Y49" s="11"/>
      <c r="Z49" s="11"/>
      <c r="AA49" s="11"/>
      <c r="AB49" s="11"/>
      <c r="AC49" s="11"/>
      <c r="AD49" s="11"/>
    </row>
    <row r="50" spans="1:30" ht="15.75" customHeight="1" x14ac:dyDescent="0.25">
      <c r="A50" s="60"/>
      <c r="B50" s="25" t="s">
        <v>27</v>
      </c>
      <c r="C50" s="56">
        <f>Base!C50+(D50/10000)</f>
        <v>0.37635099999999999</v>
      </c>
      <c r="D50" s="68">
        <v>400</v>
      </c>
      <c r="E50" s="25" t="s">
        <v>27</v>
      </c>
      <c r="F50" s="56">
        <f>Base!F50+(G50/10000)</f>
        <v>7.6731140000000003E-2</v>
      </c>
      <c r="G50" s="68">
        <v>400</v>
      </c>
      <c r="H50" s="104"/>
      <c r="I50" s="110"/>
      <c r="J50" s="111"/>
      <c r="K50" s="11"/>
      <c r="L50" s="58"/>
      <c r="M50" s="11"/>
      <c r="N50" s="11"/>
      <c r="O50" s="58"/>
      <c r="P50" s="11"/>
      <c r="Q50" s="59"/>
      <c r="R50" s="26"/>
      <c r="S50" s="11"/>
      <c r="T50" s="26"/>
      <c r="U50" s="26"/>
      <c r="V50" s="11"/>
      <c r="W50" s="26"/>
      <c r="X50" s="26"/>
      <c r="Y50" s="11"/>
      <c r="Z50" s="11"/>
      <c r="AA50" s="11"/>
      <c r="AB50" s="11"/>
      <c r="AC50" s="11"/>
      <c r="AD50" s="11"/>
    </row>
    <row r="51" spans="1:30" ht="15.75" customHeight="1" x14ac:dyDescent="0.25">
      <c r="A51" s="60"/>
      <c r="B51" s="25" t="s">
        <v>28</v>
      </c>
      <c r="C51" s="56">
        <f>Base!C51+(D51/10000)</f>
        <v>0.37635099999999999</v>
      </c>
      <c r="D51" s="68">
        <v>400</v>
      </c>
      <c r="E51" s="25" t="s">
        <v>28</v>
      </c>
      <c r="F51" s="56">
        <f>Base!F51+(G51/10000)</f>
        <v>7.7482240000000008E-2</v>
      </c>
      <c r="G51" s="68">
        <v>400</v>
      </c>
      <c r="H51" s="104"/>
      <c r="I51" s="110"/>
      <c r="J51" s="111"/>
      <c r="K51" s="11"/>
      <c r="L51" s="58"/>
      <c r="M51" s="11"/>
      <c r="N51" s="11"/>
      <c r="O51" s="58"/>
      <c r="P51" s="11"/>
      <c r="Q51" s="59"/>
      <c r="R51" s="26"/>
      <c r="S51" s="11"/>
      <c r="T51" s="26"/>
      <c r="U51" s="26"/>
      <c r="V51" s="11"/>
      <c r="W51" s="26"/>
      <c r="X51" s="26"/>
      <c r="Y51" s="11"/>
      <c r="Z51" s="11"/>
      <c r="AA51" s="11"/>
      <c r="AB51" s="11"/>
      <c r="AC51" s="11"/>
      <c r="AD51" s="11"/>
    </row>
    <row r="52" spans="1:30" ht="15.75" customHeight="1" x14ac:dyDescent="0.25">
      <c r="A52" s="60"/>
      <c r="B52" s="25" t="s">
        <v>29</v>
      </c>
      <c r="C52" s="56">
        <f>Base!C52+(D52/10000)</f>
        <v>0.37635099999999999</v>
      </c>
      <c r="D52" s="68">
        <v>400</v>
      </c>
      <c r="E52" s="25" t="s">
        <v>29</v>
      </c>
      <c r="F52" s="56">
        <f>Base!F52+(G52/10000)</f>
        <v>7.8233339999999998E-2</v>
      </c>
      <c r="G52" s="68">
        <v>400</v>
      </c>
      <c r="H52" s="104"/>
      <c r="I52" s="110"/>
      <c r="J52" s="111"/>
      <c r="K52" s="11"/>
      <c r="L52" s="58"/>
      <c r="M52" s="11"/>
      <c r="N52" s="11"/>
      <c r="O52" s="58"/>
      <c r="P52" s="11"/>
      <c r="Q52" s="59"/>
      <c r="R52" s="26"/>
      <c r="S52" s="11"/>
      <c r="T52" s="26"/>
      <c r="U52" s="26"/>
      <c r="V52" s="11"/>
      <c r="W52" s="26"/>
      <c r="X52" s="26"/>
      <c r="Y52" s="11"/>
      <c r="Z52" s="11"/>
      <c r="AA52" s="11"/>
      <c r="AB52" s="11"/>
      <c r="AC52" s="11"/>
      <c r="AD52" s="11"/>
    </row>
    <row r="53" spans="1:30" ht="15.75" customHeight="1" x14ac:dyDescent="0.25">
      <c r="A53" s="52"/>
      <c r="B53" s="25" t="s">
        <v>30</v>
      </c>
      <c r="C53" s="56">
        <f>Base!C53+(D53/10000)</f>
        <v>0.37635099999999999</v>
      </c>
      <c r="D53" s="68">
        <v>400</v>
      </c>
      <c r="E53" s="25" t="s">
        <v>30</v>
      </c>
      <c r="F53" s="56">
        <f>Base!F53+(G53/10000)</f>
        <v>7.90407266666667E-2</v>
      </c>
      <c r="G53" s="68">
        <v>400</v>
      </c>
      <c r="H53" s="104"/>
      <c r="I53" s="110"/>
      <c r="J53" s="111"/>
      <c r="K53" s="11"/>
      <c r="L53" s="58"/>
      <c r="M53" s="11"/>
      <c r="N53" s="11"/>
      <c r="O53" s="58"/>
      <c r="P53" s="11"/>
      <c r="Q53" s="59"/>
      <c r="R53" s="26"/>
      <c r="S53" s="11"/>
      <c r="T53" s="26"/>
      <c r="U53" s="26"/>
      <c r="V53" s="11"/>
      <c r="W53" s="26"/>
      <c r="X53" s="26"/>
      <c r="Y53" s="11"/>
      <c r="Z53" s="11"/>
      <c r="AA53" s="11"/>
      <c r="AB53" s="11"/>
      <c r="AC53" s="11"/>
      <c r="AD53" s="11"/>
    </row>
    <row r="54" spans="1:30" ht="15.75" customHeight="1" x14ac:dyDescent="0.25">
      <c r="A54" s="52"/>
      <c r="B54" s="25" t="s">
        <v>31</v>
      </c>
      <c r="C54" s="56">
        <f>Base!C54+(D54/10000)</f>
        <v>0.37635099999999999</v>
      </c>
      <c r="D54" s="68">
        <v>400</v>
      </c>
      <c r="E54" s="25" t="s">
        <v>31</v>
      </c>
      <c r="F54" s="56">
        <f>Base!F54+(G54/10000)</f>
        <v>7.9848113333333304E-2</v>
      </c>
      <c r="G54" s="68">
        <v>400</v>
      </c>
      <c r="H54" s="104"/>
      <c r="I54" s="110"/>
      <c r="J54" s="111"/>
      <c r="K54" s="11"/>
      <c r="L54" s="58"/>
      <c r="M54" s="11"/>
      <c r="N54" s="11"/>
      <c r="O54" s="58"/>
      <c r="P54" s="11"/>
      <c r="Q54" s="59"/>
      <c r="R54" s="26"/>
      <c r="S54" s="11"/>
      <c r="T54" s="26"/>
      <c r="U54" s="26"/>
      <c r="V54" s="11"/>
      <c r="W54" s="26"/>
      <c r="X54" s="26"/>
      <c r="Y54" s="11"/>
      <c r="Z54" s="11"/>
      <c r="AA54" s="11"/>
      <c r="AB54" s="11"/>
      <c r="AC54" s="11"/>
      <c r="AD54" s="11"/>
    </row>
    <row r="55" spans="1:30" ht="15.75" customHeight="1" x14ac:dyDescent="0.25">
      <c r="A55" s="52"/>
      <c r="B55" s="25" t="s">
        <v>32</v>
      </c>
      <c r="C55" s="56">
        <f>Base!C55+(D55/10000)</f>
        <v>0.37635099999999999</v>
      </c>
      <c r="D55" s="68">
        <v>400</v>
      </c>
      <c r="E55" s="25" t="s">
        <v>32</v>
      </c>
      <c r="F55" s="56">
        <f>Base!F55+(G55/10000)</f>
        <v>8.0655499999999991E-2</v>
      </c>
      <c r="G55" s="68">
        <v>400</v>
      </c>
      <c r="H55" s="104"/>
      <c r="I55" s="110"/>
      <c r="J55" s="111"/>
      <c r="K55" s="11"/>
      <c r="L55" s="58"/>
      <c r="M55" s="11"/>
      <c r="N55" s="11"/>
      <c r="O55" s="58"/>
      <c r="P55" s="11"/>
      <c r="Q55" s="59"/>
      <c r="R55" s="26"/>
      <c r="S55" s="11"/>
      <c r="T55" s="26"/>
      <c r="U55" s="26"/>
      <c r="V55" s="11"/>
      <c r="W55" s="26"/>
      <c r="X55" s="26"/>
      <c r="Y55" s="11"/>
      <c r="Z55" s="11"/>
      <c r="AA55" s="11"/>
      <c r="AB55" s="11"/>
      <c r="AC55" s="11"/>
      <c r="AD55" s="11"/>
    </row>
    <row r="56" spans="1:30" ht="15.75" customHeight="1" x14ac:dyDescent="0.25">
      <c r="A56" s="61"/>
      <c r="B56" s="25" t="s">
        <v>33</v>
      </c>
      <c r="C56" s="56">
        <f>Base!C56+(D56/10000)</f>
        <v>0.37635099999999999</v>
      </c>
      <c r="D56" s="68">
        <v>400</v>
      </c>
      <c r="E56" s="25" t="s">
        <v>33</v>
      </c>
      <c r="F56" s="56">
        <f>Base!F56+(G56/10000)</f>
        <v>7.9928851999999995E-2</v>
      </c>
      <c r="G56" s="68">
        <v>400</v>
      </c>
      <c r="H56" s="104"/>
      <c r="I56" s="110"/>
      <c r="J56" s="111"/>
      <c r="K56" s="25"/>
      <c r="L56" s="58"/>
      <c r="M56" s="11"/>
      <c r="N56" s="11"/>
      <c r="O56" s="58"/>
      <c r="P56" s="11"/>
      <c r="Q56" s="59"/>
      <c r="R56" s="26"/>
      <c r="S56" s="11"/>
      <c r="T56" s="26"/>
      <c r="U56" s="26"/>
      <c r="V56" s="11"/>
      <c r="W56" s="26"/>
      <c r="X56" s="26"/>
      <c r="Y56" s="11"/>
      <c r="Z56" s="11"/>
      <c r="AA56" s="11"/>
      <c r="AB56" s="11"/>
      <c r="AC56" s="11"/>
      <c r="AD56" s="11"/>
    </row>
    <row r="57" spans="1:30" ht="15.75" customHeight="1" x14ac:dyDescent="0.25">
      <c r="A57" s="52"/>
      <c r="B57" s="25" t="s">
        <v>34</v>
      </c>
      <c r="C57" s="56">
        <f>Base!C57+(D57/10000)</f>
        <v>0.37635099999999999</v>
      </c>
      <c r="D57" s="68">
        <v>400</v>
      </c>
      <c r="E57" s="25" t="s">
        <v>34</v>
      </c>
      <c r="F57" s="56">
        <f>Base!F57+(G57/10000)</f>
        <v>7.9202203999999998E-2</v>
      </c>
      <c r="G57" s="68">
        <v>400</v>
      </c>
      <c r="H57" s="104"/>
      <c r="I57" s="110"/>
      <c r="J57" s="111"/>
      <c r="K57" s="25"/>
      <c r="L57" s="58"/>
      <c r="M57" s="11"/>
      <c r="N57" s="11"/>
      <c r="O57" s="58"/>
      <c r="P57" s="11"/>
      <c r="Q57" s="59"/>
      <c r="R57" s="26"/>
      <c r="S57" s="11"/>
      <c r="T57" s="26"/>
      <c r="U57" s="26"/>
      <c r="V57" s="11"/>
      <c r="W57" s="26"/>
      <c r="X57" s="26"/>
      <c r="Y57" s="11"/>
      <c r="Z57" s="11"/>
      <c r="AA57" s="11"/>
      <c r="AB57" s="11"/>
      <c r="AC57" s="11"/>
      <c r="AD57" s="11"/>
    </row>
    <row r="58" spans="1:30" ht="15.75" customHeight="1" x14ac:dyDescent="0.25">
      <c r="A58" s="52"/>
      <c r="B58" s="25" t="s">
        <v>35</v>
      </c>
      <c r="C58" s="56">
        <f>Base!C58+(D58/10000)</f>
        <v>0.37635099999999999</v>
      </c>
      <c r="D58" s="68">
        <v>400</v>
      </c>
      <c r="E58" s="25" t="s">
        <v>35</v>
      </c>
      <c r="F58" s="56">
        <f>Base!F58+(G58/10000)</f>
        <v>8.0761002666666692E-2</v>
      </c>
      <c r="G58" s="68">
        <v>400</v>
      </c>
      <c r="H58" s="104"/>
      <c r="I58" s="110"/>
      <c r="J58" s="111"/>
      <c r="K58" s="25"/>
      <c r="L58" s="58"/>
      <c r="M58" s="11"/>
      <c r="N58" s="11"/>
      <c r="O58" s="58"/>
      <c r="P58" s="11"/>
      <c r="Q58" s="59"/>
      <c r="R58" s="26"/>
      <c r="S58" s="11"/>
      <c r="T58" s="26"/>
      <c r="U58" s="26"/>
      <c r="V58" s="11"/>
      <c r="W58" s="26"/>
      <c r="X58" s="26"/>
      <c r="Y58" s="11"/>
      <c r="Z58" s="11"/>
      <c r="AA58" s="11"/>
      <c r="AB58" s="11"/>
      <c r="AC58" s="11"/>
      <c r="AD58" s="11"/>
    </row>
    <row r="59" spans="1:30" ht="15.75" customHeight="1" x14ac:dyDescent="0.25">
      <c r="A59" s="52"/>
      <c r="B59" s="25" t="s">
        <v>36</v>
      </c>
      <c r="C59" s="56">
        <f>Base!C59+(D59/10000)</f>
        <v>0.37635099999999999</v>
      </c>
      <c r="D59" s="68">
        <v>400</v>
      </c>
      <c r="E59" s="25" t="s">
        <v>36</v>
      </c>
      <c r="F59" s="56">
        <f>Base!F59+(G59/10000)</f>
        <v>8.2319801333333303E-2</v>
      </c>
      <c r="G59" s="68">
        <v>400</v>
      </c>
      <c r="H59" s="104"/>
      <c r="I59" s="110"/>
      <c r="J59" s="111"/>
      <c r="K59" s="25"/>
      <c r="L59" s="58"/>
      <c r="M59" s="11"/>
      <c r="N59" s="11"/>
      <c r="O59" s="58"/>
      <c r="P59" s="11"/>
      <c r="Q59" s="59"/>
      <c r="R59" s="26"/>
      <c r="S59" s="11"/>
      <c r="T59" s="26"/>
      <c r="U59" s="26"/>
      <c r="V59" s="11"/>
      <c r="W59" s="26"/>
      <c r="X59" s="26"/>
      <c r="Y59" s="11"/>
      <c r="Z59" s="11"/>
      <c r="AA59" s="11"/>
      <c r="AB59" s="11"/>
      <c r="AC59" s="11"/>
      <c r="AD59" s="11"/>
    </row>
    <row r="60" spans="1:30" ht="15.75" customHeight="1" x14ac:dyDescent="0.25">
      <c r="A60" s="52"/>
      <c r="B60" s="25" t="s">
        <v>37</v>
      </c>
      <c r="C60" s="56">
        <f>Base!C60+(D60/10000)</f>
        <v>0.37635099999999999</v>
      </c>
      <c r="D60" s="68">
        <v>400</v>
      </c>
      <c r="E60" s="25" t="s">
        <v>37</v>
      </c>
      <c r="F60" s="56">
        <f>Base!F60+(G60/10000)</f>
        <v>8.3878599999999998E-2</v>
      </c>
      <c r="G60" s="68">
        <v>400</v>
      </c>
      <c r="H60" s="104"/>
      <c r="I60" s="110"/>
      <c r="J60" s="111"/>
      <c r="K60" s="25"/>
      <c r="L60" s="58"/>
      <c r="M60" s="11"/>
      <c r="N60" s="11"/>
      <c r="O60" s="11"/>
      <c r="P60" s="11"/>
      <c r="Q60" s="26"/>
      <c r="R60" s="26"/>
      <c r="S60" s="11"/>
      <c r="T60" s="26"/>
      <c r="U60" s="26"/>
      <c r="V60" s="11"/>
      <c r="W60" s="26"/>
      <c r="X60" s="26"/>
      <c r="Y60" s="11"/>
      <c r="Z60" s="11"/>
      <c r="AA60" s="11"/>
      <c r="AB60" s="11"/>
      <c r="AC60" s="11"/>
      <c r="AD60" s="11"/>
    </row>
    <row r="61" spans="1:30" ht="15.75" customHeight="1" x14ac:dyDescent="0.25">
      <c r="A61" s="52"/>
      <c r="B61" s="25" t="s">
        <v>38</v>
      </c>
      <c r="C61" s="56">
        <f>Base!C61+(D61/10000)</f>
        <v>0.37635099999999999</v>
      </c>
      <c r="D61" s="68">
        <v>400</v>
      </c>
      <c r="E61" s="25" t="s">
        <v>38</v>
      </c>
      <c r="F61" s="56">
        <f>Base!F61+(G61/10000)</f>
        <v>8.4169024000000009E-2</v>
      </c>
      <c r="G61" s="68">
        <v>400</v>
      </c>
      <c r="H61" s="104"/>
      <c r="I61" s="110"/>
      <c r="J61" s="111"/>
      <c r="K61" s="25"/>
      <c r="L61" s="58"/>
      <c r="M61" s="11"/>
      <c r="N61" s="11"/>
      <c r="O61" s="11"/>
      <c r="P61" s="11"/>
      <c r="Q61" s="26"/>
      <c r="R61" s="26"/>
      <c r="S61" s="11"/>
      <c r="T61" s="26"/>
      <c r="U61" s="26"/>
      <c r="V61" s="11"/>
      <c r="W61" s="26"/>
      <c r="X61" s="26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25" t="s">
        <v>39</v>
      </c>
      <c r="C62" s="56">
        <f>Base!C62+(D62/10000)</f>
        <v>0.37635099999999999</v>
      </c>
      <c r="D62" s="68">
        <v>400</v>
      </c>
      <c r="E62" s="25" t="s">
        <v>39</v>
      </c>
      <c r="F62" s="56">
        <f>Base!F62+(G62/10000)</f>
        <v>8.4459447999999993E-2</v>
      </c>
      <c r="G62" s="68">
        <v>400</v>
      </c>
      <c r="H62" s="104"/>
      <c r="I62" s="110"/>
      <c r="J62" s="111"/>
      <c r="K62" s="62"/>
      <c r="L62" s="58"/>
      <c r="M62" s="11"/>
      <c r="N62" s="11"/>
      <c r="O62" s="11"/>
      <c r="P62" s="11"/>
      <c r="Q62" s="26"/>
      <c r="R62" s="26"/>
      <c r="S62" s="11"/>
      <c r="T62" s="26"/>
      <c r="U62" s="26"/>
      <c r="V62" s="11"/>
      <c r="W62" s="26"/>
      <c r="X62" s="26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25" t="s">
        <v>40</v>
      </c>
      <c r="C63" s="56">
        <f>Base!C63+(D63/10000)</f>
        <v>0.37635099999999999</v>
      </c>
      <c r="D63" s="68">
        <v>400</v>
      </c>
      <c r="E63" s="25" t="s">
        <v>40</v>
      </c>
      <c r="F63" s="56">
        <f>Base!F63+(G63/10000)</f>
        <v>8.4749872000000004E-2</v>
      </c>
      <c r="G63" s="68">
        <v>400</v>
      </c>
      <c r="H63" s="104"/>
      <c r="I63" s="110"/>
      <c r="J63" s="111"/>
      <c r="K63" s="62"/>
      <c r="L63" s="58"/>
      <c r="M63" s="11"/>
      <c r="N63" s="11"/>
      <c r="O63" s="11"/>
      <c r="P63" s="11"/>
      <c r="Q63" s="26"/>
      <c r="R63" s="26"/>
      <c r="S63" s="11"/>
      <c r="T63" s="26"/>
      <c r="U63" s="26"/>
      <c r="V63" s="11"/>
      <c r="W63" s="26"/>
      <c r="X63" s="26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25" t="s">
        <v>41</v>
      </c>
      <c r="C64" s="56">
        <f>Base!C64+(D64/10000)</f>
        <v>0.37635099999999999</v>
      </c>
      <c r="D64" s="68">
        <v>400</v>
      </c>
      <c r="E64" s="25" t="s">
        <v>41</v>
      </c>
      <c r="F64" s="56">
        <f>Base!F64+(G64/10000)</f>
        <v>8.5040296000000001E-2</v>
      </c>
      <c r="G64" s="68">
        <v>400</v>
      </c>
      <c r="H64" s="104"/>
      <c r="I64" s="110"/>
      <c r="J64" s="111"/>
      <c r="K64" s="62"/>
      <c r="L64" s="58"/>
      <c r="M64" s="11"/>
      <c r="N64" s="11"/>
      <c r="O64" s="11"/>
      <c r="P64" s="11"/>
      <c r="Q64" s="26"/>
      <c r="R64" s="26"/>
      <c r="S64" s="11"/>
      <c r="T64" s="26"/>
      <c r="U64" s="26"/>
      <c r="V64" s="11"/>
      <c r="W64" s="26"/>
      <c r="X64" s="26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25" t="s">
        <v>42</v>
      </c>
      <c r="C65" s="56">
        <f>Base!C65+(D65/10000)</f>
        <v>0.37635099999999999</v>
      </c>
      <c r="D65" s="68">
        <v>400</v>
      </c>
      <c r="E65" s="25" t="s">
        <v>42</v>
      </c>
      <c r="F65" s="56">
        <f>Base!F65+(G65/10000)</f>
        <v>8.5330719999999999E-2</v>
      </c>
      <c r="G65" s="68">
        <v>400</v>
      </c>
      <c r="H65" s="104"/>
      <c r="I65" s="110"/>
      <c r="J65" s="1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25" t="s">
        <v>43</v>
      </c>
      <c r="C66" s="56">
        <f>Base!C66+(D66/10000)</f>
        <v>0.37635099999999999</v>
      </c>
      <c r="D66" s="68">
        <v>400</v>
      </c>
      <c r="E66" s="25" t="s">
        <v>43</v>
      </c>
      <c r="F66" s="56">
        <f>Base!F66+(G66/10000)</f>
        <v>8.5330719999999999E-2</v>
      </c>
      <c r="G66" s="68">
        <v>400</v>
      </c>
      <c r="H66" s="104"/>
      <c r="I66" s="110"/>
      <c r="J66" s="1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25" t="s">
        <v>44</v>
      </c>
      <c r="C67" s="56">
        <f>Base!C67+(D67/10000)</f>
        <v>0.37635099999999999</v>
      </c>
      <c r="D67" s="68">
        <v>400</v>
      </c>
      <c r="E67" s="25" t="s">
        <v>44</v>
      </c>
      <c r="F67" s="56">
        <f>Base!F67+(G67/10000)</f>
        <v>8.5330719999999999E-2</v>
      </c>
      <c r="G67" s="68">
        <v>400</v>
      </c>
      <c r="H67" s="104"/>
      <c r="I67" s="110"/>
      <c r="J67" s="1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25" t="s">
        <v>45</v>
      </c>
      <c r="C68" s="56">
        <f>Base!C68+(D68/10000)</f>
        <v>0.37635099999999999</v>
      </c>
      <c r="D68" s="68">
        <v>400</v>
      </c>
      <c r="E68" s="25" t="s">
        <v>45</v>
      </c>
      <c r="F68" s="56">
        <f>Base!F68+(G68/10000)</f>
        <v>8.5330719999999999E-2</v>
      </c>
      <c r="G68" s="68">
        <v>400</v>
      </c>
      <c r="H68" s="104"/>
      <c r="I68" s="110"/>
      <c r="J68" s="1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25" t="s">
        <v>46</v>
      </c>
      <c r="C69" s="56">
        <f>Base!C69+(D69/10000)</f>
        <v>0.37635099999999999</v>
      </c>
      <c r="D69" s="68">
        <v>400</v>
      </c>
      <c r="E69" s="25" t="s">
        <v>46</v>
      </c>
      <c r="F69" s="56">
        <f>Base!F69+(G69/10000)</f>
        <v>8.5330719999999999E-2</v>
      </c>
      <c r="G69" s="68">
        <v>400</v>
      </c>
      <c r="H69" s="104"/>
      <c r="I69" s="110"/>
      <c r="J69" s="1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25" t="s">
        <v>47</v>
      </c>
      <c r="C70" s="56">
        <f>Base!C70+(D70/10000)</f>
        <v>0.37635099999999999</v>
      </c>
      <c r="D70" s="68">
        <v>400</v>
      </c>
      <c r="E70" s="25" t="s">
        <v>47</v>
      </c>
      <c r="F70" s="56">
        <f>Base!F70+(G70/10000)</f>
        <v>8.5330719999999999E-2</v>
      </c>
      <c r="G70" s="68">
        <v>400</v>
      </c>
      <c r="H70" s="104"/>
      <c r="I70" s="110"/>
      <c r="J70" s="1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63"/>
      <c r="G125" s="63"/>
      <c r="H125" s="63"/>
      <c r="I125" s="63"/>
      <c r="J125" s="63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63"/>
      <c r="G126" s="63"/>
      <c r="H126" s="63"/>
      <c r="I126" s="63"/>
      <c r="J126" s="63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/>
    <row r="263" spans="1:30" ht="15.75" customHeight="1" x14ac:dyDescent="0.25"/>
    <row r="264" spans="1:30" ht="15.75" customHeight="1" x14ac:dyDescent="0.25"/>
    <row r="265" spans="1:30" ht="15.75" customHeight="1" x14ac:dyDescent="0.25"/>
    <row r="266" spans="1:30" ht="15.75" customHeight="1" x14ac:dyDescent="0.25"/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29:F29">
    <cfRule type="cellIs" dxfId="7" priority="1" operator="equal">
      <formula>"TRUE"</formula>
    </cfRule>
  </conditionalFormatting>
  <conditionalFormatting sqref="C10:H10">
    <cfRule type="cellIs" dxfId="6" priority="2" operator="equal">
      <formula>"TRUE"</formula>
    </cfRule>
  </conditionalFormatting>
  <conditionalFormatting sqref="G28:H28 J28:N28">
    <cfRule type="cellIs" dxfId="5" priority="3" operator="equal">
      <formula>"TRUE"</formula>
    </cfRule>
  </conditionalFormatting>
  <conditionalFormatting sqref="K10:N10">
    <cfRule type="cellIs" dxfId="4" priority="4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D1000"/>
  <sheetViews>
    <sheetView showGridLines="0" topLeftCell="B38" workbookViewId="0">
      <selection activeCell="C43" sqref="C43"/>
    </sheetView>
  </sheetViews>
  <sheetFormatPr baseColWidth="10" defaultColWidth="12.6328125" defaultRowHeight="15" customHeight="1" x14ac:dyDescent="0.25"/>
  <cols>
    <col min="1" max="1" width="32.453125" customWidth="1"/>
    <col min="2" max="3" width="10.453125" customWidth="1"/>
    <col min="4" max="4" width="7.453125" customWidth="1"/>
    <col min="5" max="6" width="10.453125" customWidth="1"/>
    <col min="7" max="7" width="7.453125" customWidth="1"/>
    <col min="8" max="9" width="10.453125" customWidth="1"/>
    <col min="10" max="10" width="7.453125" customWidth="1"/>
    <col min="11" max="15" width="9.08984375" customWidth="1"/>
    <col min="16" max="16" width="10.08984375" customWidth="1"/>
    <col min="17" max="17" width="10" customWidth="1"/>
    <col min="18" max="18" width="10.08984375" customWidth="1"/>
    <col min="19" max="23" width="9.08984375" customWidth="1"/>
    <col min="24" max="30" width="23.08984375" customWidth="1"/>
  </cols>
  <sheetData>
    <row r="1" spans="1:30" ht="14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" x14ac:dyDescent="0.25">
      <c r="A5" s="11"/>
      <c r="B5" s="95" t="s">
        <v>48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11"/>
      <c r="AB5" s="11"/>
      <c r="AC5" s="11"/>
      <c r="AD5" s="11"/>
    </row>
    <row r="6" spans="1:30" ht="14" x14ac:dyDescent="0.25">
      <c r="A6" s="1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11"/>
      <c r="AB6" s="11"/>
      <c r="AC6" s="11"/>
      <c r="AD6" s="11"/>
    </row>
    <row r="7" spans="1:30" ht="14" x14ac:dyDescent="0.25">
      <c r="A7" s="2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" x14ac:dyDescent="0.25">
      <c r="A8" s="27"/>
      <c r="B8" s="2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  <c r="AD8" s="32"/>
    </row>
    <row r="9" spans="1:30" ht="14" x14ac:dyDescent="0.25">
      <c r="A9" s="33"/>
      <c r="B9" s="28"/>
      <c r="C9" s="29"/>
      <c r="D9" s="29"/>
      <c r="E9" s="29"/>
      <c r="F9" s="29"/>
      <c r="G9" s="30"/>
      <c r="H9" s="30"/>
      <c r="I9" s="31"/>
      <c r="J9" s="28"/>
      <c r="K9" s="29"/>
      <c r="L9" s="29"/>
      <c r="M9" s="29"/>
      <c r="N9" s="29"/>
      <c r="O9" s="36"/>
      <c r="P9" s="36"/>
      <c r="Q9" s="36"/>
      <c r="R9" s="36"/>
      <c r="S9" s="36"/>
      <c r="T9" s="36"/>
      <c r="U9" s="36"/>
      <c r="V9" s="36"/>
      <c r="W9" s="36"/>
      <c r="X9" s="37"/>
      <c r="Y9" s="37"/>
      <c r="Z9" s="38"/>
      <c r="AA9" s="38"/>
      <c r="AB9" s="38"/>
      <c r="AC9" s="38"/>
      <c r="AD9" s="38"/>
    </row>
    <row r="10" spans="1:30" ht="14" x14ac:dyDescent="0.3">
      <c r="A10" s="33"/>
      <c r="B10" s="34"/>
      <c r="C10" s="35"/>
      <c r="D10" s="35"/>
      <c r="E10" s="35"/>
      <c r="F10" s="35"/>
      <c r="G10" s="35"/>
      <c r="H10" s="35"/>
      <c r="I10" s="31"/>
      <c r="J10" s="34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8"/>
      <c r="AA10" s="38"/>
      <c r="AB10" s="38"/>
      <c r="AC10" s="38"/>
      <c r="AD10" s="38"/>
    </row>
    <row r="11" spans="1:30" ht="14" x14ac:dyDescent="0.25">
      <c r="A11" s="27"/>
      <c r="B11" s="31"/>
      <c r="C11" s="36"/>
      <c r="D11" s="36"/>
      <c r="E11" s="36"/>
      <c r="F11" s="36"/>
      <c r="G11" s="36"/>
      <c r="H11" s="36"/>
      <c r="I11" s="31"/>
      <c r="J11" s="31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/>
      <c r="Y11" s="37"/>
      <c r="Z11" s="38"/>
      <c r="AA11" s="38"/>
      <c r="AB11" s="38"/>
      <c r="AC11" s="38"/>
      <c r="AD11" s="38"/>
    </row>
    <row r="12" spans="1:30" ht="14" x14ac:dyDescent="0.25">
      <c r="A12" s="33"/>
      <c r="B12" s="31"/>
      <c r="C12" s="36"/>
      <c r="D12" s="36"/>
      <c r="E12" s="36"/>
      <c r="F12" s="36"/>
      <c r="G12" s="36"/>
      <c r="H12" s="36"/>
      <c r="I12" s="31"/>
      <c r="J12" s="31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37"/>
      <c r="Z12" s="38"/>
      <c r="AA12" s="38"/>
      <c r="AB12" s="38"/>
      <c r="AC12" s="38"/>
      <c r="AD12" s="38"/>
    </row>
    <row r="13" spans="1:30" ht="14" x14ac:dyDescent="0.25">
      <c r="A13" s="33"/>
      <c r="B13" s="31"/>
      <c r="C13" s="36"/>
      <c r="D13" s="36"/>
      <c r="E13" s="36"/>
      <c r="F13" s="36"/>
      <c r="G13" s="36"/>
      <c r="H13" s="36"/>
      <c r="I13" s="31"/>
      <c r="J13" s="31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7"/>
      <c r="Z13" s="38"/>
      <c r="AA13" s="38"/>
      <c r="AB13" s="38"/>
      <c r="AC13" s="38"/>
      <c r="AD13" s="38"/>
    </row>
    <row r="14" spans="1:30" ht="14" x14ac:dyDescent="0.25">
      <c r="A14" s="33"/>
      <c r="B14" s="31"/>
      <c r="C14" s="36"/>
      <c r="D14" s="36"/>
      <c r="E14" s="36"/>
      <c r="F14" s="36"/>
      <c r="G14" s="36"/>
      <c r="H14" s="36"/>
      <c r="I14" s="31"/>
      <c r="J14" s="31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8"/>
      <c r="AA14" s="38"/>
      <c r="AB14" s="38"/>
      <c r="AC14" s="38"/>
      <c r="AD14" s="38"/>
    </row>
    <row r="15" spans="1:30" ht="14" x14ac:dyDescent="0.25">
      <c r="A15" s="33"/>
      <c r="B15" s="31"/>
      <c r="C15" s="36"/>
      <c r="D15" s="36"/>
      <c r="E15" s="36"/>
      <c r="F15" s="36"/>
      <c r="G15" s="36"/>
      <c r="H15" s="36"/>
      <c r="I15" s="31"/>
      <c r="J15" s="31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7"/>
      <c r="Y15" s="37"/>
      <c r="Z15" s="38"/>
      <c r="AA15" s="38"/>
      <c r="AB15" s="38"/>
      <c r="AC15" s="38"/>
      <c r="AD15" s="38"/>
    </row>
    <row r="16" spans="1:30" ht="14" x14ac:dyDescent="0.25">
      <c r="A16" s="33"/>
      <c r="B16" s="31"/>
      <c r="C16" s="36"/>
      <c r="D16" s="36"/>
      <c r="E16" s="36"/>
      <c r="F16" s="36"/>
      <c r="G16" s="36"/>
      <c r="H16" s="36"/>
      <c r="I16" s="31"/>
      <c r="J16" s="31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37"/>
      <c r="Z16" s="38"/>
      <c r="AA16" s="38"/>
      <c r="AB16" s="38"/>
      <c r="AC16" s="38"/>
      <c r="AD16" s="38"/>
    </row>
    <row r="17" spans="1:30" ht="14" x14ac:dyDescent="0.25">
      <c r="A17" s="33"/>
      <c r="B17" s="31"/>
      <c r="C17" s="36"/>
      <c r="D17" s="36"/>
      <c r="E17" s="36"/>
      <c r="F17" s="36"/>
      <c r="G17" s="36"/>
      <c r="H17" s="36"/>
      <c r="I17" s="31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7"/>
      <c r="Y17" s="37"/>
      <c r="Z17" s="38"/>
      <c r="AA17" s="38"/>
      <c r="AB17" s="38"/>
      <c r="AC17" s="38"/>
      <c r="AD17" s="38"/>
    </row>
    <row r="18" spans="1:30" ht="14" x14ac:dyDescent="0.25">
      <c r="A18" s="33"/>
      <c r="B18" s="31"/>
      <c r="C18" s="36"/>
      <c r="D18" s="36"/>
      <c r="E18" s="36"/>
      <c r="F18" s="36"/>
      <c r="G18" s="36"/>
      <c r="H18" s="36"/>
      <c r="I18" s="31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37"/>
      <c r="Z18" s="38"/>
      <c r="AA18" s="38"/>
      <c r="AB18" s="38"/>
      <c r="AC18" s="38"/>
      <c r="AD18" s="38"/>
    </row>
    <row r="19" spans="1:30" ht="14" x14ac:dyDescent="0.25">
      <c r="A19" s="33"/>
      <c r="B19" s="31"/>
      <c r="C19" s="36"/>
      <c r="D19" s="36"/>
      <c r="E19" s="36"/>
      <c r="F19" s="36"/>
      <c r="G19" s="36"/>
      <c r="H19" s="36"/>
      <c r="I19" s="31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7"/>
      <c r="Y19" s="37"/>
      <c r="Z19" s="38"/>
      <c r="AA19" s="38"/>
      <c r="AB19" s="38"/>
      <c r="AC19" s="38"/>
      <c r="AD19" s="38"/>
    </row>
    <row r="20" spans="1:30" ht="14" x14ac:dyDescent="0.25">
      <c r="A20" s="33"/>
      <c r="B20" s="31"/>
      <c r="C20" s="36"/>
      <c r="D20" s="36"/>
      <c r="E20" s="36"/>
      <c r="F20" s="36"/>
      <c r="G20" s="36"/>
      <c r="H20" s="36"/>
      <c r="I20" s="31"/>
      <c r="J20" s="3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37"/>
      <c r="Z20" s="38"/>
      <c r="AA20" s="38"/>
      <c r="AB20" s="38"/>
      <c r="AC20" s="38"/>
      <c r="AD20" s="38"/>
    </row>
    <row r="21" spans="1:30" ht="15.75" customHeight="1" x14ac:dyDescent="0.25">
      <c r="A21" s="33"/>
      <c r="B21" s="31"/>
      <c r="C21" s="36"/>
      <c r="D21" s="36"/>
      <c r="E21" s="36"/>
      <c r="F21" s="36"/>
      <c r="G21" s="36"/>
      <c r="H21" s="36"/>
      <c r="I21" s="31"/>
      <c r="J21" s="31"/>
      <c r="K21" s="36"/>
      <c r="L21" s="36"/>
      <c r="M21" s="36"/>
      <c r="N21" s="36"/>
      <c r="O21" s="39"/>
      <c r="P21" s="39"/>
      <c r="Q21" s="39"/>
      <c r="R21" s="39"/>
      <c r="S21" s="39"/>
      <c r="T21" s="39"/>
      <c r="U21" s="39"/>
      <c r="V21" s="39"/>
      <c r="W21" s="39"/>
      <c r="X21" s="40"/>
      <c r="Y21" s="40"/>
      <c r="Z21" s="40"/>
      <c r="AA21" s="40"/>
      <c r="AB21" s="40"/>
      <c r="AC21" s="40"/>
      <c r="AD21" s="40"/>
    </row>
    <row r="22" spans="1:30" ht="15.75" customHeight="1" x14ac:dyDescent="0.25">
      <c r="A22" s="33"/>
      <c r="B22" s="31"/>
      <c r="C22" s="36"/>
      <c r="D22" s="36"/>
      <c r="E22" s="36"/>
      <c r="F22" s="36"/>
      <c r="G22" s="39"/>
      <c r="H22" s="39"/>
      <c r="I22" s="31"/>
      <c r="J22" s="31"/>
      <c r="K22" s="36"/>
      <c r="L22" s="36"/>
      <c r="M22" s="36"/>
      <c r="N22" s="36"/>
      <c r="O22" s="30"/>
      <c r="P22" s="30"/>
      <c r="Q22" s="30"/>
      <c r="R22" s="30"/>
      <c r="S22" s="30"/>
      <c r="T22" s="30"/>
      <c r="U22" s="30"/>
      <c r="V22" s="30"/>
      <c r="W22" s="30"/>
      <c r="X22" s="32"/>
      <c r="Y22" s="32"/>
      <c r="Z22" s="32"/>
      <c r="AA22" s="32"/>
      <c r="AB22" s="32"/>
      <c r="AC22" s="32"/>
      <c r="AD22" s="32"/>
    </row>
    <row r="23" spans="1:30" ht="15.75" customHeight="1" x14ac:dyDescent="0.25">
      <c r="A23" s="41"/>
      <c r="B23" s="31"/>
      <c r="C23" s="36"/>
      <c r="D23" s="36"/>
      <c r="E23" s="36"/>
      <c r="F23" s="36"/>
      <c r="G23" s="30"/>
      <c r="H23" s="30"/>
      <c r="I23" s="31"/>
      <c r="J23" s="31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40"/>
      <c r="Y23" s="40"/>
      <c r="Z23" s="40"/>
      <c r="AA23" s="40"/>
      <c r="AB23" s="40"/>
      <c r="AC23" s="40"/>
      <c r="AD23" s="40"/>
    </row>
    <row r="24" spans="1:30" ht="15.75" customHeight="1" x14ac:dyDescent="0.25">
      <c r="A24" s="33"/>
      <c r="B24" s="31"/>
      <c r="C24" s="36"/>
      <c r="D24" s="36"/>
      <c r="E24" s="36"/>
      <c r="F24" s="36"/>
      <c r="G24" s="36"/>
      <c r="H24" s="36"/>
      <c r="I24" s="31"/>
      <c r="J24" s="31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40"/>
      <c r="Y24" s="40"/>
      <c r="Z24" s="40"/>
      <c r="AA24" s="40"/>
      <c r="AB24" s="40"/>
      <c r="AC24" s="40"/>
      <c r="AD24" s="40"/>
    </row>
    <row r="25" spans="1:30" ht="15.75" customHeight="1" x14ac:dyDescent="0.25">
      <c r="A25" s="40"/>
      <c r="B25" s="31"/>
      <c r="C25" s="36"/>
      <c r="D25" s="36"/>
      <c r="E25" s="36"/>
      <c r="F25" s="36"/>
      <c r="G25" s="36"/>
      <c r="H25" s="36"/>
      <c r="I25" s="31"/>
      <c r="J25" s="31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40"/>
      <c r="Y25" s="40"/>
      <c r="Z25" s="40"/>
      <c r="AA25" s="40"/>
      <c r="AB25" s="40"/>
      <c r="AC25" s="40"/>
      <c r="AD25" s="40"/>
    </row>
    <row r="26" spans="1:30" ht="15.75" customHeight="1" x14ac:dyDescent="0.25">
      <c r="A26" s="40"/>
      <c r="B26" s="31"/>
      <c r="C26" s="36"/>
      <c r="D26" s="36"/>
      <c r="E26" s="36"/>
      <c r="F26" s="36"/>
      <c r="G26" s="36"/>
      <c r="H26" s="36"/>
      <c r="I26" s="31"/>
      <c r="J26" s="31"/>
      <c r="K26" s="36"/>
      <c r="L26" s="36"/>
      <c r="M26" s="36"/>
      <c r="N26" s="36"/>
      <c r="O26" s="42"/>
      <c r="P26" s="42"/>
      <c r="Q26" s="42"/>
      <c r="R26" s="42"/>
      <c r="S26" s="42"/>
      <c r="T26" s="42"/>
      <c r="U26" s="42"/>
      <c r="V26" s="42"/>
      <c r="W26" s="42"/>
      <c r="X26" s="40"/>
      <c r="Y26" s="40"/>
      <c r="Z26" s="40"/>
      <c r="AA26" s="40"/>
      <c r="AB26" s="40"/>
      <c r="AC26" s="40"/>
      <c r="AD26" s="40"/>
    </row>
    <row r="27" spans="1:30" ht="15.75" customHeight="1" x14ac:dyDescent="0.25">
      <c r="A27" s="40"/>
      <c r="B27" s="31"/>
      <c r="C27" s="31"/>
      <c r="D27" s="31"/>
      <c r="E27" s="31"/>
      <c r="F27" s="31"/>
      <c r="G27" s="36"/>
      <c r="H27" s="36"/>
      <c r="I27" s="31"/>
      <c r="J27" s="31"/>
      <c r="K27" s="36"/>
      <c r="L27" s="36"/>
      <c r="M27" s="36"/>
      <c r="N27" s="36"/>
      <c r="O27" s="42"/>
      <c r="P27" s="42"/>
      <c r="Q27" s="42"/>
      <c r="R27" s="42"/>
      <c r="S27" s="42"/>
      <c r="T27" s="42"/>
      <c r="U27" s="42"/>
      <c r="V27" s="42"/>
      <c r="W27" s="42"/>
      <c r="X27" s="40"/>
      <c r="Y27" s="40"/>
      <c r="Z27" s="40"/>
      <c r="AA27" s="40"/>
      <c r="AB27" s="40"/>
      <c r="AC27" s="40"/>
      <c r="AD27" s="40"/>
    </row>
    <row r="28" spans="1:30" ht="15.75" customHeight="1" x14ac:dyDescent="0.3">
      <c r="A28" s="40"/>
      <c r="B28" s="31"/>
      <c r="C28" s="29"/>
      <c r="D28" s="29"/>
      <c r="E28" s="29"/>
      <c r="F28" s="29"/>
      <c r="G28" s="35"/>
      <c r="H28" s="35"/>
      <c r="I28" s="31"/>
      <c r="J28" s="31"/>
      <c r="K28" s="36"/>
      <c r="L28" s="36"/>
      <c r="M28" s="36"/>
      <c r="N28" s="36"/>
      <c r="O28" s="42"/>
      <c r="P28" s="42"/>
      <c r="Q28" s="42"/>
      <c r="R28" s="42"/>
      <c r="S28" s="42"/>
      <c r="T28" s="42"/>
      <c r="U28" s="42"/>
      <c r="V28" s="42"/>
      <c r="W28" s="42"/>
      <c r="X28" s="40"/>
      <c r="Y28" s="40"/>
      <c r="Z28" s="40"/>
      <c r="AA28" s="40"/>
      <c r="AB28" s="40"/>
      <c r="AC28" s="40"/>
      <c r="AD28" s="40"/>
    </row>
    <row r="29" spans="1:30" ht="15.75" customHeight="1" x14ac:dyDescent="0.3">
      <c r="A29" s="40"/>
      <c r="B29" s="34"/>
      <c r="C29" s="35"/>
      <c r="D29" s="35"/>
      <c r="E29" s="35"/>
      <c r="F29" s="35"/>
      <c r="G29" s="42"/>
      <c r="H29" s="42"/>
      <c r="I29" s="31"/>
      <c r="J29" s="31"/>
      <c r="K29" s="36"/>
      <c r="L29" s="36"/>
      <c r="M29" s="36"/>
      <c r="N29" s="3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0"/>
      <c r="AB29" s="40"/>
      <c r="AC29" s="40"/>
      <c r="AD29" s="40"/>
    </row>
    <row r="30" spans="1:30" ht="15.75" customHeight="1" x14ac:dyDescent="0.25">
      <c r="A30" s="40"/>
      <c r="B30" s="31"/>
      <c r="C30" s="42"/>
      <c r="D30" s="42"/>
      <c r="E30" s="42"/>
      <c r="F30" s="42"/>
      <c r="G30" s="42"/>
      <c r="H30" s="42"/>
      <c r="I30" s="31"/>
      <c r="J30" s="31"/>
      <c r="K30" s="36"/>
      <c r="L30" s="36"/>
      <c r="M30" s="36"/>
      <c r="N30" s="36"/>
      <c r="O30" s="30"/>
      <c r="P30" s="30"/>
      <c r="Q30" s="30"/>
      <c r="R30" s="30"/>
      <c r="S30" s="30"/>
      <c r="T30" s="30"/>
      <c r="U30" s="30"/>
      <c r="V30" s="30"/>
      <c r="W30" s="30"/>
      <c r="X30" s="43"/>
      <c r="Y30" s="43"/>
      <c r="Z30" s="43"/>
      <c r="AA30" s="40"/>
      <c r="AB30" s="40"/>
      <c r="AC30" s="40"/>
      <c r="AD30" s="40"/>
    </row>
    <row r="31" spans="1:30" ht="15.75" customHeight="1" x14ac:dyDescent="0.25">
      <c r="A31" s="40"/>
      <c r="B31" s="31"/>
      <c r="C31" s="42"/>
      <c r="D31" s="42"/>
      <c r="E31" s="42"/>
      <c r="F31" s="42"/>
      <c r="G31" s="43"/>
      <c r="H31" s="43"/>
      <c r="I31" s="43"/>
      <c r="J31" s="43"/>
      <c r="K31" s="43"/>
      <c r="L31" s="43"/>
      <c r="M31" s="43"/>
      <c r="N31" s="43"/>
      <c r="O31" s="42"/>
      <c r="P31" s="42"/>
      <c r="Q31" s="42"/>
      <c r="R31" s="42"/>
      <c r="S31" s="42"/>
      <c r="T31" s="42"/>
      <c r="U31" s="42"/>
      <c r="V31" s="42"/>
      <c r="W31" s="42"/>
      <c r="X31" s="43"/>
      <c r="Y31" s="43"/>
      <c r="Z31" s="43"/>
      <c r="AA31" s="40"/>
      <c r="AB31" s="40"/>
      <c r="AC31" s="40"/>
      <c r="AD31" s="40"/>
    </row>
    <row r="32" spans="1:30" ht="15.75" customHeight="1" x14ac:dyDescent="0.25">
      <c r="A32" s="40"/>
      <c r="B32" s="29"/>
      <c r="C32" s="36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3"/>
      <c r="Y32" s="43"/>
      <c r="Z32" s="43"/>
      <c r="AA32" s="40"/>
      <c r="AB32" s="40"/>
      <c r="AC32" s="40"/>
      <c r="AD32" s="40"/>
    </row>
    <row r="33" spans="1:30" ht="15.75" customHeight="1" x14ac:dyDescent="0.25">
      <c r="A33" s="40"/>
      <c r="B33" s="2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43"/>
      <c r="Y33" s="43"/>
      <c r="Z33" s="43"/>
      <c r="AA33" s="40"/>
      <c r="AB33" s="40"/>
      <c r="AC33" s="40"/>
      <c r="AD33" s="40"/>
    </row>
    <row r="34" spans="1:30" ht="15.75" customHeight="1" x14ac:dyDescent="0.25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9"/>
      <c r="Y34" s="49"/>
      <c r="Z34" s="49"/>
      <c r="AA34" s="45"/>
      <c r="AB34" s="45"/>
      <c r="AC34" s="45"/>
      <c r="AD34" s="45"/>
    </row>
    <row r="35" spans="1:30" ht="15.75" customHeight="1" x14ac:dyDescent="0.25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9"/>
      <c r="Y35" s="49"/>
      <c r="Z35" s="49"/>
      <c r="AA35" s="45"/>
      <c r="AB35" s="45"/>
      <c r="AC35" s="45"/>
      <c r="AD35" s="45"/>
    </row>
    <row r="36" spans="1:30" ht="15.75" customHeight="1" x14ac:dyDescent="0.25">
      <c r="A36" s="45"/>
      <c r="B36" s="50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1"/>
      <c r="Y36" s="51"/>
      <c r="Z36" s="51"/>
      <c r="AA36" s="51"/>
      <c r="AB36" s="51"/>
      <c r="AC36" s="51"/>
      <c r="AD36" s="51"/>
    </row>
    <row r="37" spans="1:30" ht="15.75" customHeight="1" x14ac:dyDescent="0.25">
      <c r="A37" s="1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1"/>
      <c r="AB37" s="11"/>
      <c r="AC37" s="11"/>
      <c r="AD37" s="11"/>
    </row>
    <row r="38" spans="1:30" ht="15.75" customHeight="1" x14ac:dyDescent="0.25">
      <c r="A38" s="1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1"/>
      <c r="AB38" s="11"/>
      <c r="AC38" s="11"/>
      <c r="AD38" s="11"/>
    </row>
    <row r="39" spans="1:30" ht="15.75" customHeight="1" x14ac:dyDescent="0.25">
      <c r="A39" s="11"/>
      <c r="B39" s="96" t="s">
        <v>49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7"/>
      <c r="AA39" s="11"/>
      <c r="AB39" s="11"/>
      <c r="AC39" s="11"/>
      <c r="AD39" s="11"/>
    </row>
    <row r="40" spans="1:30" ht="15.75" customHeight="1" x14ac:dyDescent="0.25">
      <c r="A40" s="11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" customHeight="1" x14ac:dyDescent="0.25">
      <c r="A42" s="11"/>
      <c r="B42" s="53" t="s">
        <v>66</v>
      </c>
      <c r="C42" s="54">
        <v>46053</v>
      </c>
      <c r="D42" s="55"/>
      <c r="E42" s="53" t="s">
        <v>51</v>
      </c>
      <c r="F42" s="54">
        <f>C42</f>
        <v>46053</v>
      </c>
      <c r="G42" s="11"/>
      <c r="H42" s="97"/>
      <c r="I42" s="98"/>
      <c r="J42" s="99"/>
      <c r="K42" s="11"/>
      <c r="L42" s="55"/>
      <c r="M42" s="11"/>
      <c r="N42" s="11"/>
      <c r="O42" s="55"/>
      <c r="P42" s="11"/>
      <c r="Q42" s="11"/>
      <c r="R42" s="55"/>
      <c r="S42" s="11"/>
      <c r="T42" s="11"/>
      <c r="U42" s="55"/>
      <c r="V42" s="11"/>
      <c r="W42" s="11"/>
      <c r="X42" s="55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21" t="s">
        <v>20</v>
      </c>
      <c r="C43" s="56">
        <f>Base!C43+(D43/10000)</f>
        <v>0.51035079999999999</v>
      </c>
      <c r="D43" s="68">
        <v>-400</v>
      </c>
      <c r="E43" s="21" t="s">
        <v>20</v>
      </c>
      <c r="F43" s="56">
        <f>Base!F43+(G43/10000)</f>
        <v>5.7170399999999996E-3</v>
      </c>
      <c r="G43" s="68">
        <v>-400</v>
      </c>
      <c r="H43" s="100"/>
      <c r="I43" s="110"/>
      <c r="J43" s="111"/>
      <c r="K43" s="11"/>
      <c r="L43" s="58"/>
      <c r="M43" s="11"/>
      <c r="N43" s="11"/>
      <c r="O43" s="58"/>
      <c r="P43" s="11"/>
      <c r="Q43" s="59"/>
      <c r="R43" s="26"/>
      <c r="S43" s="11"/>
      <c r="T43" s="26"/>
      <c r="U43" s="26"/>
      <c r="V43" s="11"/>
      <c r="W43" s="26"/>
      <c r="X43" s="26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21" t="s">
        <v>21</v>
      </c>
      <c r="C44" s="56">
        <f>Base!C44+(D44/10000)</f>
        <v>0.49446070000000003</v>
      </c>
      <c r="D44" s="68">
        <v>-400</v>
      </c>
      <c r="E44" s="21" t="s">
        <v>21</v>
      </c>
      <c r="F44" s="56">
        <f>Base!F44+(G44/10000)</f>
        <v>5.6545500000000012E-3</v>
      </c>
      <c r="G44" s="68">
        <v>-400</v>
      </c>
      <c r="H44" s="100"/>
      <c r="I44" s="110"/>
      <c r="J44" s="111"/>
      <c r="K44" s="11"/>
      <c r="L44" s="58"/>
      <c r="M44" s="11"/>
      <c r="N44" s="11"/>
      <c r="O44" s="58"/>
      <c r="P44" s="11"/>
      <c r="Q44" s="59"/>
      <c r="R44" s="26"/>
      <c r="S44" s="11"/>
      <c r="T44" s="26"/>
      <c r="U44" s="26"/>
      <c r="V44" s="11"/>
      <c r="W44" s="26"/>
      <c r="X44" s="26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21" t="s">
        <v>22</v>
      </c>
      <c r="C45" s="56">
        <f>Base!C45+(D45/10000)</f>
        <v>0.47216413333333301</v>
      </c>
      <c r="D45" s="68">
        <v>-400</v>
      </c>
      <c r="E45" s="21" t="s">
        <v>22</v>
      </c>
      <c r="F45" s="56">
        <f>Base!F45+(G45/10000)</f>
        <v>5.5853999999999973E-3</v>
      </c>
      <c r="G45" s="68">
        <v>-400</v>
      </c>
      <c r="H45" s="100"/>
      <c r="I45" s="110"/>
      <c r="J45" s="111"/>
      <c r="K45" s="11"/>
      <c r="L45" s="58"/>
      <c r="M45" s="11"/>
      <c r="N45" s="11"/>
      <c r="O45" s="58"/>
      <c r="P45" s="11"/>
      <c r="Q45" s="59"/>
      <c r="R45" s="26"/>
      <c r="S45" s="11"/>
      <c r="T45" s="26"/>
      <c r="U45" s="26"/>
      <c r="V45" s="11"/>
      <c r="W45" s="26"/>
      <c r="X45" s="26"/>
      <c r="Y45" s="11"/>
      <c r="Z45" s="11"/>
      <c r="AA45" s="11"/>
      <c r="AB45" s="11"/>
      <c r="AC45" s="11"/>
      <c r="AD45" s="11"/>
    </row>
    <row r="46" spans="1:30" ht="15.75" customHeight="1" x14ac:dyDescent="0.25">
      <c r="A46" s="60"/>
      <c r="B46" s="21" t="s">
        <v>23</v>
      </c>
      <c r="C46" s="56">
        <f>Base!C46+(D46/10000)</f>
        <v>0.4478837</v>
      </c>
      <c r="D46" s="68">
        <v>-400</v>
      </c>
      <c r="E46" s="21" t="s">
        <v>23</v>
      </c>
      <c r="F46" s="56">
        <f>Base!F46+(G46/10000)</f>
        <v>5.5162500000000003E-3</v>
      </c>
      <c r="G46" s="68">
        <v>-400</v>
      </c>
      <c r="H46" s="100"/>
      <c r="I46" s="110"/>
      <c r="J46" s="111"/>
      <c r="K46" s="11"/>
      <c r="L46" s="58"/>
      <c r="M46" s="11"/>
      <c r="N46" s="11"/>
      <c r="O46" s="58"/>
      <c r="P46" s="11"/>
      <c r="Q46" s="59"/>
      <c r="R46" s="26"/>
      <c r="S46" s="11"/>
      <c r="T46" s="26"/>
      <c r="U46" s="26"/>
      <c r="V46" s="11"/>
      <c r="W46" s="26"/>
      <c r="X46" s="26"/>
      <c r="Y46" s="11"/>
      <c r="Z46" s="11"/>
      <c r="AA46" s="11"/>
      <c r="AB46" s="11"/>
      <c r="AC46" s="11"/>
      <c r="AD46" s="11"/>
    </row>
    <row r="47" spans="1:30" ht="15.75" customHeight="1" x14ac:dyDescent="0.25">
      <c r="A47" s="60"/>
      <c r="B47" s="25" t="s">
        <v>24</v>
      </c>
      <c r="C47" s="56">
        <f>Base!C47+(D47/10000)</f>
        <v>0.357982359459459</v>
      </c>
      <c r="D47" s="68">
        <v>-400</v>
      </c>
      <c r="E47" s="25" t="s">
        <v>24</v>
      </c>
      <c r="F47" s="56">
        <f>Base!F47+(G47/10000)</f>
        <v>-2.6831500000000022E-3</v>
      </c>
      <c r="G47" s="68">
        <v>-400</v>
      </c>
      <c r="H47" s="104"/>
      <c r="I47" s="110"/>
      <c r="J47" s="111"/>
      <c r="K47" s="11"/>
      <c r="L47" s="58"/>
      <c r="M47" s="11"/>
      <c r="N47" s="11"/>
      <c r="O47" s="58"/>
      <c r="P47" s="11"/>
      <c r="Q47" s="59"/>
      <c r="R47" s="26"/>
      <c r="S47" s="11"/>
      <c r="T47" s="26"/>
      <c r="U47" s="26"/>
      <c r="V47" s="11"/>
      <c r="W47" s="26"/>
      <c r="X47" s="26"/>
      <c r="Y47" s="11"/>
      <c r="Z47" s="11"/>
      <c r="AA47" s="11"/>
      <c r="AB47" s="11"/>
      <c r="AC47" s="11"/>
      <c r="AD47" s="11"/>
    </row>
    <row r="48" spans="1:30" ht="15.75" customHeight="1" x14ac:dyDescent="0.25">
      <c r="A48" s="60"/>
      <c r="B48" s="25" t="s">
        <v>25</v>
      </c>
      <c r="C48" s="56">
        <f>Base!C48+(D48/10000)</f>
        <v>0.29635100000000003</v>
      </c>
      <c r="D48" s="68">
        <v>-400</v>
      </c>
      <c r="E48" s="25" t="s">
        <v>25</v>
      </c>
      <c r="F48" s="56">
        <f>Base!F48+(G48/10000)</f>
        <v>-3.6776599999999993E-3</v>
      </c>
      <c r="G48" s="68">
        <v>-400</v>
      </c>
      <c r="H48" s="104"/>
      <c r="I48" s="110"/>
      <c r="J48" s="111"/>
      <c r="K48" s="11"/>
      <c r="L48" s="58"/>
      <c r="M48" s="11"/>
      <c r="N48" s="11"/>
      <c r="O48" s="58"/>
      <c r="P48" s="11"/>
      <c r="Q48" s="59"/>
      <c r="R48" s="26"/>
      <c r="S48" s="11"/>
      <c r="T48" s="26"/>
      <c r="U48" s="26"/>
      <c r="V48" s="11"/>
      <c r="W48" s="26"/>
      <c r="X48" s="26"/>
      <c r="Y48" s="11"/>
      <c r="Z48" s="11"/>
      <c r="AA48" s="11"/>
      <c r="AB48" s="11"/>
      <c r="AC48" s="11"/>
      <c r="AD48" s="11"/>
    </row>
    <row r="49" spans="1:30" ht="15.75" customHeight="1" x14ac:dyDescent="0.25">
      <c r="A49" s="60"/>
      <c r="B49" s="25" t="s">
        <v>26</v>
      </c>
      <c r="C49" s="56">
        <f>Base!C49+(D49/10000)</f>
        <v>0.29635100000000003</v>
      </c>
      <c r="D49" s="68">
        <v>-400</v>
      </c>
      <c r="E49" s="25" t="s">
        <v>26</v>
      </c>
      <c r="F49" s="56">
        <f>Base!F49+(G49/10000)</f>
        <v>-3.4732599999999988E-3</v>
      </c>
      <c r="G49" s="68">
        <v>-400</v>
      </c>
      <c r="H49" s="104"/>
      <c r="I49" s="110"/>
      <c r="J49" s="111"/>
      <c r="K49" s="11"/>
      <c r="L49" s="58"/>
      <c r="M49" s="11"/>
      <c r="N49" s="11"/>
      <c r="O49" s="58"/>
      <c r="P49" s="11"/>
      <c r="Q49" s="59"/>
      <c r="R49" s="26"/>
      <c r="S49" s="11"/>
      <c r="T49" s="26"/>
      <c r="U49" s="26"/>
      <c r="V49" s="11"/>
      <c r="W49" s="26"/>
      <c r="X49" s="26"/>
      <c r="Y49" s="11"/>
      <c r="Z49" s="11"/>
      <c r="AA49" s="11"/>
      <c r="AB49" s="11"/>
      <c r="AC49" s="11"/>
      <c r="AD49" s="11"/>
    </row>
    <row r="50" spans="1:30" ht="15.75" customHeight="1" x14ac:dyDescent="0.25">
      <c r="A50" s="60"/>
      <c r="B50" s="25" t="s">
        <v>27</v>
      </c>
      <c r="C50" s="56">
        <f>Base!C50+(D50/10000)</f>
        <v>0.29635100000000003</v>
      </c>
      <c r="D50" s="68">
        <v>-400</v>
      </c>
      <c r="E50" s="25" t="s">
        <v>27</v>
      </c>
      <c r="F50" s="56">
        <f>Base!F50+(G50/10000)</f>
        <v>-3.2688599999999984E-3</v>
      </c>
      <c r="G50" s="68">
        <v>-400</v>
      </c>
      <c r="H50" s="104"/>
      <c r="I50" s="110"/>
      <c r="J50" s="111"/>
      <c r="K50" s="11"/>
      <c r="L50" s="58"/>
      <c r="M50" s="11"/>
      <c r="N50" s="11"/>
      <c r="O50" s="58"/>
      <c r="P50" s="11"/>
      <c r="Q50" s="59"/>
      <c r="R50" s="26"/>
      <c r="S50" s="11"/>
      <c r="T50" s="26"/>
      <c r="U50" s="26"/>
      <c r="V50" s="11"/>
      <c r="W50" s="26"/>
      <c r="X50" s="26"/>
      <c r="Y50" s="11"/>
      <c r="Z50" s="11"/>
      <c r="AA50" s="11"/>
      <c r="AB50" s="11"/>
      <c r="AC50" s="11"/>
      <c r="AD50" s="11"/>
    </row>
    <row r="51" spans="1:30" ht="15.75" customHeight="1" x14ac:dyDescent="0.25">
      <c r="A51" s="60"/>
      <c r="B51" s="25" t="s">
        <v>28</v>
      </c>
      <c r="C51" s="56">
        <f>Base!C51+(D51/10000)</f>
        <v>0.29635100000000003</v>
      </c>
      <c r="D51" s="68">
        <v>-400</v>
      </c>
      <c r="E51" s="25" t="s">
        <v>28</v>
      </c>
      <c r="F51" s="56">
        <f>Base!F51+(G51/10000)</f>
        <v>-2.5177600000000008E-3</v>
      </c>
      <c r="G51" s="68">
        <v>-400</v>
      </c>
      <c r="H51" s="104"/>
      <c r="I51" s="110"/>
      <c r="J51" s="111"/>
      <c r="K51" s="11"/>
      <c r="L51" s="58"/>
      <c r="M51" s="11"/>
      <c r="N51" s="11"/>
      <c r="O51" s="58"/>
      <c r="P51" s="11"/>
      <c r="Q51" s="59"/>
      <c r="R51" s="26"/>
      <c r="S51" s="11"/>
      <c r="T51" s="26"/>
      <c r="U51" s="26"/>
      <c r="V51" s="11"/>
      <c r="W51" s="26"/>
      <c r="X51" s="26"/>
      <c r="Y51" s="11"/>
      <c r="Z51" s="11"/>
      <c r="AA51" s="11"/>
      <c r="AB51" s="11"/>
      <c r="AC51" s="11"/>
      <c r="AD51" s="11"/>
    </row>
    <row r="52" spans="1:30" ht="15.75" customHeight="1" x14ac:dyDescent="0.25">
      <c r="A52" s="60"/>
      <c r="B52" s="25" t="s">
        <v>29</v>
      </c>
      <c r="C52" s="56">
        <f>Base!C52+(D52/10000)</f>
        <v>0.29635100000000003</v>
      </c>
      <c r="D52" s="68">
        <v>-400</v>
      </c>
      <c r="E52" s="25" t="s">
        <v>29</v>
      </c>
      <c r="F52" s="56">
        <f>Base!F52+(G52/10000)</f>
        <v>-1.7666600000000032E-3</v>
      </c>
      <c r="G52" s="68">
        <v>-400</v>
      </c>
      <c r="H52" s="104"/>
      <c r="I52" s="110"/>
      <c r="J52" s="111"/>
      <c r="K52" s="11"/>
      <c r="L52" s="58"/>
      <c r="M52" s="11"/>
      <c r="N52" s="11"/>
      <c r="O52" s="58"/>
      <c r="P52" s="11"/>
      <c r="Q52" s="59"/>
      <c r="R52" s="26"/>
      <c r="S52" s="11"/>
      <c r="T52" s="26"/>
      <c r="U52" s="26"/>
      <c r="V52" s="11"/>
      <c r="W52" s="26"/>
      <c r="X52" s="26"/>
      <c r="Y52" s="11"/>
      <c r="Z52" s="11"/>
      <c r="AA52" s="11"/>
      <c r="AB52" s="11"/>
      <c r="AC52" s="11"/>
      <c r="AD52" s="11"/>
    </row>
    <row r="53" spans="1:30" ht="15.75" customHeight="1" x14ac:dyDescent="0.25">
      <c r="A53" s="52"/>
      <c r="B53" s="25" t="s">
        <v>30</v>
      </c>
      <c r="C53" s="56">
        <f>Base!C53+(D53/10000)</f>
        <v>0.29635100000000003</v>
      </c>
      <c r="D53" s="68">
        <v>-400</v>
      </c>
      <c r="E53" s="25" t="s">
        <v>30</v>
      </c>
      <c r="F53" s="56">
        <f>Base!F53+(G53/10000)</f>
        <v>-9.59273333333302E-4</v>
      </c>
      <c r="G53" s="68">
        <v>-400</v>
      </c>
      <c r="H53" s="104"/>
      <c r="I53" s="110"/>
      <c r="J53" s="111"/>
      <c r="K53" s="11"/>
      <c r="L53" s="58"/>
      <c r="M53" s="11"/>
      <c r="N53" s="11"/>
      <c r="O53" s="58"/>
      <c r="P53" s="11"/>
      <c r="Q53" s="59"/>
      <c r="R53" s="26"/>
      <c r="S53" s="11"/>
      <c r="T53" s="26"/>
      <c r="U53" s="26"/>
      <c r="V53" s="11"/>
      <c r="W53" s="26"/>
      <c r="X53" s="26"/>
      <c r="Y53" s="11"/>
      <c r="Z53" s="11"/>
      <c r="AA53" s="11"/>
      <c r="AB53" s="11"/>
      <c r="AC53" s="11"/>
      <c r="AD53" s="11"/>
    </row>
    <row r="54" spans="1:30" ht="15.75" customHeight="1" x14ac:dyDescent="0.25">
      <c r="A54" s="52"/>
      <c r="B54" s="25" t="s">
        <v>31</v>
      </c>
      <c r="C54" s="56">
        <f>Base!C54+(D54/10000)</f>
        <v>0.29635100000000003</v>
      </c>
      <c r="D54" s="68">
        <v>-400</v>
      </c>
      <c r="E54" s="25" t="s">
        <v>31</v>
      </c>
      <c r="F54" s="56">
        <f>Base!F54+(G54/10000)</f>
        <v>-1.5188666666669792E-4</v>
      </c>
      <c r="G54" s="68">
        <v>-400</v>
      </c>
      <c r="H54" s="104"/>
      <c r="I54" s="110"/>
      <c r="J54" s="111"/>
      <c r="K54" s="11"/>
      <c r="L54" s="58"/>
      <c r="M54" s="11"/>
      <c r="N54" s="11"/>
      <c r="O54" s="58"/>
      <c r="P54" s="11"/>
      <c r="Q54" s="59"/>
      <c r="R54" s="26"/>
      <c r="S54" s="11"/>
      <c r="T54" s="26"/>
      <c r="U54" s="26"/>
      <c r="V54" s="11"/>
      <c r="W54" s="26"/>
      <c r="X54" s="26"/>
      <c r="Y54" s="11"/>
      <c r="Z54" s="11"/>
      <c r="AA54" s="11"/>
      <c r="AB54" s="11"/>
      <c r="AC54" s="11"/>
      <c r="AD54" s="11"/>
    </row>
    <row r="55" spans="1:30" ht="15.75" customHeight="1" x14ac:dyDescent="0.25">
      <c r="A55" s="52"/>
      <c r="B55" s="25" t="s">
        <v>32</v>
      </c>
      <c r="C55" s="56">
        <f>Base!C55+(D55/10000)</f>
        <v>0.29635100000000003</v>
      </c>
      <c r="D55" s="68">
        <v>-400</v>
      </c>
      <c r="E55" s="25" t="s">
        <v>32</v>
      </c>
      <c r="F55" s="56">
        <f>Base!F55+(G55/10000)</f>
        <v>6.5549999999999636E-4</v>
      </c>
      <c r="G55" s="68">
        <v>-400</v>
      </c>
      <c r="H55" s="104"/>
      <c r="I55" s="110"/>
      <c r="J55" s="111"/>
      <c r="K55" s="11"/>
      <c r="L55" s="58"/>
      <c r="M55" s="11"/>
      <c r="N55" s="11"/>
      <c r="O55" s="58"/>
      <c r="P55" s="11"/>
      <c r="Q55" s="59"/>
      <c r="R55" s="26"/>
      <c r="S55" s="11"/>
      <c r="T55" s="26"/>
      <c r="U55" s="26"/>
      <c r="V55" s="11"/>
      <c r="W55" s="26"/>
      <c r="X55" s="26"/>
      <c r="Y55" s="11"/>
      <c r="Z55" s="11"/>
      <c r="AA55" s="11"/>
      <c r="AB55" s="11"/>
      <c r="AC55" s="11"/>
      <c r="AD55" s="11"/>
    </row>
    <row r="56" spans="1:30" ht="15.75" customHeight="1" x14ac:dyDescent="0.25">
      <c r="A56" s="61"/>
      <c r="B56" s="25" t="s">
        <v>33</v>
      </c>
      <c r="C56" s="56">
        <f>Base!C56+(D56/10000)</f>
        <v>0.29635100000000003</v>
      </c>
      <c r="D56" s="68">
        <v>-400</v>
      </c>
      <c r="E56" s="25" t="s">
        <v>33</v>
      </c>
      <c r="F56" s="56">
        <f>Base!F56+(G56/10000)</f>
        <v>-7.1148000000000045E-5</v>
      </c>
      <c r="G56" s="68">
        <v>-400</v>
      </c>
      <c r="H56" s="104"/>
      <c r="I56" s="110"/>
      <c r="J56" s="111"/>
      <c r="K56" s="25"/>
      <c r="L56" s="58"/>
      <c r="M56" s="11"/>
      <c r="N56" s="11"/>
      <c r="O56" s="58"/>
      <c r="P56" s="11"/>
      <c r="Q56" s="59"/>
      <c r="R56" s="26"/>
      <c r="S56" s="11"/>
      <c r="T56" s="26"/>
      <c r="U56" s="26"/>
      <c r="V56" s="11"/>
      <c r="W56" s="26"/>
      <c r="X56" s="26"/>
      <c r="Y56" s="11"/>
      <c r="Z56" s="11"/>
      <c r="AA56" s="11"/>
      <c r="AB56" s="11"/>
      <c r="AC56" s="11"/>
      <c r="AD56" s="11"/>
    </row>
    <row r="57" spans="1:30" ht="15.75" customHeight="1" x14ac:dyDescent="0.25">
      <c r="A57" s="52"/>
      <c r="B57" s="25" t="s">
        <v>34</v>
      </c>
      <c r="C57" s="56">
        <f>Base!C57+(D57/10000)</f>
        <v>0.29635100000000003</v>
      </c>
      <c r="D57" s="68">
        <v>-400</v>
      </c>
      <c r="E57" s="25" t="s">
        <v>34</v>
      </c>
      <c r="F57" s="56">
        <f>Base!F57+(G57/10000)</f>
        <v>-7.9779600000000339E-4</v>
      </c>
      <c r="G57" s="68">
        <v>-400</v>
      </c>
      <c r="H57" s="104"/>
      <c r="I57" s="110"/>
      <c r="J57" s="111"/>
      <c r="K57" s="25"/>
      <c r="L57" s="58"/>
      <c r="M57" s="11"/>
      <c r="N57" s="11"/>
      <c r="O57" s="58"/>
      <c r="P57" s="11"/>
      <c r="Q57" s="59"/>
      <c r="R57" s="26"/>
      <c r="S57" s="11"/>
      <c r="T57" s="26"/>
      <c r="U57" s="26"/>
      <c r="V57" s="11"/>
      <c r="W57" s="26"/>
      <c r="X57" s="26"/>
      <c r="Y57" s="11"/>
      <c r="Z57" s="11"/>
      <c r="AA57" s="11"/>
      <c r="AB57" s="11"/>
      <c r="AC57" s="11"/>
      <c r="AD57" s="11"/>
    </row>
    <row r="58" spans="1:30" ht="15.75" customHeight="1" x14ac:dyDescent="0.25">
      <c r="A58" s="52"/>
      <c r="B58" s="25" t="s">
        <v>35</v>
      </c>
      <c r="C58" s="56">
        <f>Base!C58+(D58/10000)</f>
        <v>0.29635100000000003</v>
      </c>
      <c r="D58" s="68">
        <v>-400</v>
      </c>
      <c r="E58" s="25" t="s">
        <v>35</v>
      </c>
      <c r="F58" s="56">
        <f>Base!F58+(G58/10000)</f>
        <v>7.6100266666669775E-4</v>
      </c>
      <c r="G58" s="68">
        <v>-400</v>
      </c>
      <c r="H58" s="104"/>
      <c r="I58" s="110"/>
      <c r="J58" s="111"/>
      <c r="K58" s="25"/>
      <c r="L58" s="58"/>
      <c r="M58" s="11"/>
      <c r="N58" s="11"/>
      <c r="O58" s="58"/>
      <c r="P58" s="11"/>
      <c r="Q58" s="59"/>
      <c r="R58" s="26"/>
      <c r="S58" s="11"/>
      <c r="T58" s="26"/>
      <c r="U58" s="26"/>
      <c r="V58" s="11"/>
      <c r="W58" s="26"/>
      <c r="X58" s="26"/>
      <c r="Y58" s="11"/>
      <c r="Z58" s="11"/>
      <c r="AA58" s="11"/>
      <c r="AB58" s="11"/>
      <c r="AC58" s="11"/>
      <c r="AD58" s="11"/>
    </row>
    <row r="59" spans="1:30" ht="15.75" customHeight="1" x14ac:dyDescent="0.25">
      <c r="A59" s="52"/>
      <c r="B59" s="25" t="s">
        <v>36</v>
      </c>
      <c r="C59" s="56">
        <f>Base!C59+(D59/10000)</f>
        <v>0.29635100000000003</v>
      </c>
      <c r="D59" s="68">
        <v>-400</v>
      </c>
      <c r="E59" s="25" t="s">
        <v>36</v>
      </c>
      <c r="F59" s="56">
        <f>Base!F59+(G59/10000)</f>
        <v>2.3198013333333017E-3</v>
      </c>
      <c r="G59" s="68">
        <v>-400</v>
      </c>
      <c r="H59" s="104"/>
      <c r="I59" s="110"/>
      <c r="J59" s="111"/>
      <c r="K59" s="25"/>
      <c r="L59" s="58"/>
      <c r="M59" s="11"/>
      <c r="N59" s="11"/>
      <c r="O59" s="58"/>
      <c r="P59" s="11"/>
      <c r="Q59" s="59"/>
      <c r="R59" s="26"/>
      <c r="S59" s="11"/>
      <c r="T59" s="26"/>
      <c r="U59" s="26"/>
      <c r="V59" s="11"/>
      <c r="W59" s="26"/>
      <c r="X59" s="26"/>
      <c r="Y59" s="11"/>
      <c r="Z59" s="11"/>
      <c r="AA59" s="11"/>
      <c r="AB59" s="11"/>
      <c r="AC59" s="11"/>
      <c r="AD59" s="11"/>
    </row>
    <row r="60" spans="1:30" ht="15.75" customHeight="1" x14ac:dyDescent="0.25">
      <c r="A60" s="52"/>
      <c r="B60" s="25" t="s">
        <v>37</v>
      </c>
      <c r="C60" s="56">
        <f>Base!C60+(D60/10000)</f>
        <v>0.29635100000000003</v>
      </c>
      <c r="D60" s="68">
        <v>-400</v>
      </c>
      <c r="E60" s="25" t="s">
        <v>37</v>
      </c>
      <c r="F60" s="56">
        <f>Base!F60+(G60/10000)</f>
        <v>3.8785999999999959E-3</v>
      </c>
      <c r="G60" s="68">
        <v>-400</v>
      </c>
      <c r="H60" s="104"/>
      <c r="I60" s="110"/>
      <c r="J60" s="111"/>
      <c r="K60" s="25"/>
      <c r="L60" s="58"/>
      <c r="M60" s="11"/>
      <c r="N60" s="11"/>
      <c r="O60" s="11"/>
      <c r="P60" s="11"/>
      <c r="Q60" s="26"/>
      <c r="R60" s="26"/>
      <c r="S60" s="11"/>
      <c r="T60" s="26"/>
      <c r="U60" s="26"/>
      <c r="V60" s="11"/>
      <c r="W60" s="26"/>
      <c r="X60" s="26"/>
      <c r="Y60" s="11"/>
      <c r="Z60" s="11"/>
      <c r="AA60" s="11"/>
      <c r="AB60" s="11"/>
      <c r="AC60" s="11"/>
      <c r="AD60" s="11"/>
    </row>
    <row r="61" spans="1:30" ht="15.75" customHeight="1" x14ac:dyDescent="0.25">
      <c r="A61" s="52"/>
      <c r="B61" s="25" t="s">
        <v>38</v>
      </c>
      <c r="C61" s="56">
        <f>Base!C61+(D61/10000)</f>
        <v>0.29635100000000003</v>
      </c>
      <c r="D61" s="68">
        <v>-400</v>
      </c>
      <c r="E61" s="25" t="s">
        <v>38</v>
      </c>
      <c r="F61" s="56">
        <f>Base!F61+(G61/10000)</f>
        <v>4.1690240000000003E-3</v>
      </c>
      <c r="G61" s="68">
        <v>-400</v>
      </c>
      <c r="H61" s="104"/>
      <c r="I61" s="110"/>
      <c r="J61" s="111"/>
      <c r="K61" s="25"/>
      <c r="L61" s="58"/>
      <c r="M61" s="11"/>
      <c r="N61" s="11"/>
      <c r="O61" s="11"/>
      <c r="P61" s="11"/>
      <c r="Q61" s="26"/>
      <c r="R61" s="26"/>
      <c r="S61" s="11"/>
      <c r="T61" s="26"/>
      <c r="U61" s="26"/>
      <c r="V61" s="11"/>
      <c r="W61" s="26"/>
      <c r="X61" s="26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25" t="s">
        <v>39</v>
      </c>
      <c r="C62" s="56">
        <f>Base!C62+(D62/10000)</f>
        <v>0.29635100000000003</v>
      </c>
      <c r="D62" s="68">
        <v>-400</v>
      </c>
      <c r="E62" s="25" t="s">
        <v>39</v>
      </c>
      <c r="F62" s="56">
        <f>Base!F62+(G62/10000)</f>
        <v>4.4594479999999978E-3</v>
      </c>
      <c r="G62" s="68">
        <v>-400</v>
      </c>
      <c r="H62" s="104"/>
      <c r="I62" s="110"/>
      <c r="J62" s="111"/>
      <c r="K62" s="62"/>
      <c r="L62" s="58"/>
      <c r="M62" s="11"/>
      <c r="N62" s="11"/>
      <c r="O62" s="11"/>
      <c r="P62" s="11"/>
      <c r="Q62" s="26"/>
      <c r="R62" s="26"/>
      <c r="S62" s="11"/>
      <c r="T62" s="26"/>
      <c r="U62" s="26"/>
      <c r="V62" s="11"/>
      <c r="W62" s="26"/>
      <c r="X62" s="26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25" t="s">
        <v>40</v>
      </c>
      <c r="C63" s="56">
        <f>Base!C63+(D63/10000)</f>
        <v>0.29635100000000003</v>
      </c>
      <c r="D63" s="68">
        <v>-400</v>
      </c>
      <c r="E63" s="25" t="s">
        <v>40</v>
      </c>
      <c r="F63" s="56">
        <f>Base!F63+(G63/10000)</f>
        <v>4.7498720000000022E-3</v>
      </c>
      <c r="G63" s="68">
        <v>-400</v>
      </c>
      <c r="H63" s="104"/>
      <c r="I63" s="110"/>
      <c r="J63" s="111"/>
      <c r="K63" s="62"/>
      <c r="L63" s="58"/>
      <c r="M63" s="11"/>
      <c r="N63" s="11"/>
      <c r="O63" s="11"/>
      <c r="P63" s="11"/>
      <c r="Q63" s="26"/>
      <c r="R63" s="26"/>
      <c r="S63" s="11"/>
      <c r="T63" s="26"/>
      <c r="U63" s="26"/>
      <c r="V63" s="11"/>
      <c r="W63" s="26"/>
      <c r="X63" s="26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25" t="s">
        <v>41</v>
      </c>
      <c r="C64" s="56">
        <f>Base!C64+(D64/10000)</f>
        <v>0.29635100000000003</v>
      </c>
      <c r="D64" s="68">
        <v>-400</v>
      </c>
      <c r="E64" s="25" t="s">
        <v>41</v>
      </c>
      <c r="F64" s="56">
        <f>Base!F64+(G64/10000)</f>
        <v>5.0402959999999997E-3</v>
      </c>
      <c r="G64" s="68">
        <v>-400</v>
      </c>
      <c r="H64" s="104"/>
      <c r="I64" s="110"/>
      <c r="J64" s="111"/>
      <c r="K64" s="62"/>
      <c r="L64" s="58"/>
      <c r="M64" s="11"/>
      <c r="N64" s="11"/>
      <c r="O64" s="11"/>
      <c r="P64" s="11"/>
      <c r="Q64" s="26"/>
      <c r="R64" s="26"/>
      <c r="S64" s="11"/>
      <c r="T64" s="26"/>
      <c r="U64" s="26"/>
      <c r="V64" s="11"/>
      <c r="W64" s="26"/>
      <c r="X64" s="26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25" t="s">
        <v>42</v>
      </c>
      <c r="C65" s="56">
        <f>Base!C65+(D65/10000)</f>
        <v>0.29635100000000003</v>
      </c>
      <c r="D65" s="68">
        <v>-400</v>
      </c>
      <c r="E65" s="25" t="s">
        <v>42</v>
      </c>
      <c r="F65" s="56">
        <f>Base!F65+(G65/10000)</f>
        <v>5.3307199999999971E-3</v>
      </c>
      <c r="G65" s="68">
        <v>-400</v>
      </c>
      <c r="H65" s="104"/>
      <c r="I65" s="110"/>
      <c r="J65" s="1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25" t="s">
        <v>43</v>
      </c>
      <c r="C66" s="56">
        <f>Base!C66+(D66/10000)</f>
        <v>0.29635100000000003</v>
      </c>
      <c r="D66" s="68">
        <v>-400</v>
      </c>
      <c r="E66" s="25" t="s">
        <v>43</v>
      </c>
      <c r="F66" s="56">
        <f>Base!F66+(G66/10000)</f>
        <v>5.3307199999999971E-3</v>
      </c>
      <c r="G66" s="68">
        <v>-400</v>
      </c>
      <c r="H66" s="104"/>
      <c r="I66" s="110"/>
      <c r="J66" s="1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25" t="s">
        <v>44</v>
      </c>
      <c r="C67" s="56">
        <f>Base!C67+(D67/10000)</f>
        <v>0.29635100000000003</v>
      </c>
      <c r="D67" s="68">
        <v>-400</v>
      </c>
      <c r="E67" s="25" t="s">
        <v>44</v>
      </c>
      <c r="F67" s="56">
        <f>Base!F67+(G67/10000)</f>
        <v>5.3307199999999971E-3</v>
      </c>
      <c r="G67" s="68">
        <v>-400</v>
      </c>
      <c r="H67" s="104"/>
      <c r="I67" s="110"/>
      <c r="J67" s="1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25" t="s">
        <v>45</v>
      </c>
      <c r="C68" s="56">
        <f>Base!C68+(D68/10000)</f>
        <v>0.29635100000000003</v>
      </c>
      <c r="D68" s="68">
        <v>-400</v>
      </c>
      <c r="E68" s="25" t="s">
        <v>45</v>
      </c>
      <c r="F68" s="56">
        <f>Base!F68+(G68/10000)</f>
        <v>5.3307199999999971E-3</v>
      </c>
      <c r="G68" s="68">
        <v>-400</v>
      </c>
      <c r="H68" s="104"/>
      <c r="I68" s="110"/>
      <c r="J68" s="1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25" t="s">
        <v>46</v>
      </c>
      <c r="C69" s="56">
        <f>Base!C69+(D69/10000)</f>
        <v>0.29635100000000003</v>
      </c>
      <c r="D69" s="68">
        <v>-400</v>
      </c>
      <c r="E69" s="25" t="s">
        <v>46</v>
      </c>
      <c r="F69" s="56">
        <f>Base!F69+(G69/10000)</f>
        <v>5.3307199999999971E-3</v>
      </c>
      <c r="G69" s="68">
        <v>-400</v>
      </c>
      <c r="H69" s="104"/>
      <c r="I69" s="110"/>
      <c r="J69" s="1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25" t="s">
        <v>47</v>
      </c>
      <c r="C70" s="56">
        <f>Base!C70+(D70/10000)</f>
        <v>0.29635100000000003</v>
      </c>
      <c r="D70" s="68">
        <v>-400</v>
      </c>
      <c r="E70" s="25" t="s">
        <v>47</v>
      </c>
      <c r="F70" s="56">
        <f>Base!F70+(G70/10000)</f>
        <v>5.3307199999999971E-3</v>
      </c>
      <c r="G70" s="68">
        <v>-400</v>
      </c>
      <c r="H70" s="104"/>
      <c r="I70" s="110"/>
      <c r="J70" s="1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2"/>
      <c r="N114" s="11"/>
      <c r="O114" s="11"/>
      <c r="P114" s="6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63"/>
      <c r="G122" s="63"/>
      <c r="H122" s="63"/>
      <c r="I122" s="63"/>
      <c r="J122" s="63"/>
      <c r="K122" s="63"/>
      <c r="L122" s="63"/>
      <c r="M122" s="63"/>
      <c r="N122" s="11"/>
      <c r="O122" s="11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63"/>
      <c r="G123" s="63"/>
      <c r="H123" s="63"/>
      <c r="I123" s="63"/>
      <c r="J123" s="63"/>
      <c r="K123" s="63"/>
      <c r="L123" s="63"/>
      <c r="M123" s="63"/>
      <c r="N123" s="63"/>
      <c r="O123" s="11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63"/>
      <c r="G124" s="63"/>
      <c r="H124" s="63"/>
      <c r="I124" s="63"/>
      <c r="J124" s="63"/>
      <c r="K124" s="63"/>
      <c r="L124" s="63"/>
      <c r="M124" s="63"/>
      <c r="N124" s="63"/>
      <c r="O124" s="11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63"/>
      <c r="G125" s="63"/>
      <c r="H125" s="63"/>
      <c r="I125" s="63"/>
      <c r="J125" s="63"/>
      <c r="K125" s="63"/>
      <c r="L125" s="63"/>
      <c r="M125" s="63"/>
      <c r="N125" s="63"/>
      <c r="O125" s="11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63"/>
      <c r="G126" s="63"/>
      <c r="H126" s="63"/>
      <c r="I126" s="63"/>
      <c r="J126" s="63"/>
      <c r="K126" s="63"/>
      <c r="L126" s="63"/>
      <c r="M126" s="63"/>
      <c r="N126" s="63"/>
      <c r="O126" s="11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2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2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/>
    <row r="263" spans="1:30" ht="15.75" customHeight="1" x14ac:dyDescent="0.25"/>
    <row r="264" spans="1:30" ht="15.75" customHeight="1" x14ac:dyDescent="0.25"/>
    <row r="265" spans="1:30" ht="15.75" customHeight="1" x14ac:dyDescent="0.25"/>
    <row r="266" spans="1:30" ht="15.75" customHeight="1" x14ac:dyDescent="0.25"/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:Z6"/>
    <mergeCell ref="B39:Z40"/>
  </mergeCells>
  <conditionalFormatting sqref="C29:F29">
    <cfRule type="cellIs" dxfId="3" priority="1" operator="equal">
      <formula>"TRUE"</formula>
    </cfRule>
  </conditionalFormatting>
  <conditionalFormatting sqref="C10:H10">
    <cfRule type="cellIs" dxfId="2" priority="2" operator="equal">
      <formula>"TRUE"</formula>
    </cfRule>
  </conditionalFormatting>
  <conditionalFormatting sqref="G28:H28 J28:N28">
    <cfRule type="cellIs" dxfId="1" priority="3" operator="equal">
      <formula>"TRUE"</formula>
    </cfRule>
  </conditionalFormatting>
  <conditionalFormatting sqref="K10:N10">
    <cfRule type="cellIs" dxfId="0" priority="4" operator="equal">
      <formula>"TRUE"</formula>
    </cfRule>
  </conditionalFormatting>
  <pageMargins left="0.75" right="0.75" top="1" bottom="1" header="0" footer="0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1000"/>
  <sheetViews>
    <sheetView showGridLines="0" workbookViewId="0"/>
  </sheetViews>
  <sheetFormatPr baseColWidth="10" defaultColWidth="12.6328125" defaultRowHeight="15" customHeight="1" x14ac:dyDescent="0.25"/>
  <cols>
    <col min="1" max="24" width="11.453125" customWidth="1"/>
    <col min="25" max="26" width="12.453125" customWidth="1"/>
  </cols>
  <sheetData>
    <row r="1" spans="1:24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5">
      <c r="A2" s="1"/>
      <c r="B2" s="1"/>
      <c r="C2" s="5" t="s">
        <v>10</v>
      </c>
      <c r="D2" s="6" t="s">
        <v>61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1"/>
      <c r="B3" s="1"/>
      <c r="C3" s="7" t="s">
        <v>12</v>
      </c>
      <c r="D3" s="8" t="s">
        <v>62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5">
      <c r="A4" s="1"/>
      <c r="B4" s="1"/>
      <c r="C4" s="9" t="s">
        <v>63</v>
      </c>
      <c r="D4" s="10" t="s">
        <v>64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" customHeight="1" x14ac:dyDescent="0.25"/>
    <row r="6" spans="1:24" ht="12" customHeight="1" x14ac:dyDescent="0.25"/>
    <row r="7" spans="1:24" ht="12" customHeight="1" x14ac:dyDescent="0.25"/>
    <row r="8" spans="1:24" ht="12" customHeight="1" x14ac:dyDescent="0.25"/>
    <row r="9" spans="1:24" ht="12" customHeight="1" x14ac:dyDescent="0.25"/>
    <row r="10" spans="1:24" ht="12" customHeight="1" x14ac:dyDescent="0.25"/>
    <row r="11" spans="1:24" ht="12" customHeight="1" x14ac:dyDescent="0.25"/>
    <row r="12" spans="1:24" ht="12" customHeight="1" x14ac:dyDescent="0.25"/>
    <row r="13" spans="1:24" ht="12" customHeight="1" x14ac:dyDescent="0.25"/>
    <row r="14" spans="1:24" ht="12" customHeight="1" x14ac:dyDescent="0.25"/>
    <row r="15" spans="1:24" ht="12" customHeight="1" x14ac:dyDescent="0.25"/>
    <row r="16" spans="1:24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00"/>
  <sheetViews>
    <sheetView showGridLines="0" workbookViewId="0">
      <selection activeCell="C7" sqref="C7"/>
    </sheetView>
  </sheetViews>
  <sheetFormatPr baseColWidth="10" defaultColWidth="12.6328125" defaultRowHeight="15" customHeight="1" x14ac:dyDescent="0.25"/>
  <cols>
    <col min="1" max="5" width="10.453125" customWidth="1"/>
    <col min="6" max="26" width="12.453125" customWidth="1"/>
  </cols>
  <sheetData>
    <row r="1" spans="1:5" ht="15.75" customHeight="1" x14ac:dyDescent="0.35">
      <c r="A1" s="1"/>
      <c r="B1" s="1"/>
      <c r="C1" s="1"/>
      <c r="D1" s="1"/>
      <c r="E1" s="1"/>
    </row>
    <row r="2" spans="1:5" ht="15.75" customHeight="1" x14ac:dyDescent="0.35">
      <c r="A2" s="1"/>
      <c r="B2" s="1"/>
      <c r="C2" s="1"/>
      <c r="D2" s="1"/>
      <c r="E2" s="1"/>
    </row>
    <row r="3" spans="1:5" ht="15.75" customHeight="1" x14ac:dyDescent="0.35">
      <c r="A3" s="1"/>
      <c r="B3" s="1"/>
      <c r="C3" s="1"/>
      <c r="D3" s="1"/>
      <c r="E3" s="1"/>
    </row>
    <row r="4" spans="1:5" ht="15.75" customHeight="1" x14ac:dyDescent="0.35">
      <c r="A4" s="1"/>
      <c r="B4" s="1"/>
      <c r="C4" s="1"/>
      <c r="D4" s="1"/>
      <c r="E4" s="1"/>
    </row>
    <row r="5" spans="1:5" ht="15.75" customHeight="1" x14ac:dyDescent="0.35">
      <c r="A5" s="1"/>
      <c r="B5" s="1"/>
      <c r="C5" s="1"/>
      <c r="D5" s="1"/>
      <c r="E5" s="1"/>
    </row>
    <row r="6" spans="1:5" ht="15.75" customHeight="1" x14ac:dyDescent="0.35">
      <c r="A6" s="1"/>
      <c r="B6" s="73" t="s">
        <v>65</v>
      </c>
      <c r="C6" s="74">
        <v>46053</v>
      </c>
      <c r="D6" s="1"/>
      <c r="E6" s="1"/>
    </row>
    <row r="7" spans="1:5" ht="15.75" customHeight="1" x14ac:dyDescent="0.35">
      <c r="A7" s="1"/>
      <c r="B7" s="75" t="s">
        <v>60</v>
      </c>
      <c r="C7" s="76">
        <v>0</v>
      </c>
      <c r="D7" s="1"/>
      <c r="E7" s="1"/>
    </row>
    <row r="8" spans="1:5" ht="15.75" customHeight="1" x14ac:dyDescent="0.35">
      <c r="A8" s="77"/>
      <c r="B8" s="78"/>
      <c r="C8" s="79"/>
      <c r="D8" s="77"/>
      <c r="E8" s="77"/>
    </row>
    <row r="9" spans="1:5" ht="15.75" customHeight="1" x14ac:dyDescent="0.35">
      <c r="A9" s="77"/>
      <c r="B9" s="78"/>
      <c r="C9" s="79"/>
      <c r="D9" s="77"/>
      <c r="E9" s="77"/>
    </row>
    <row r="10" spans="1:5" ht="15.75" customHeight="1" x14ac:dyDescent="0.35">
      <c r="A10" s="77"/>
      <c r="B10" s="78"/>
      <c r="C10" s="79"/>
      <c r="D10" s="77"/>
      <c r="E10" s="77"/>
    </row>
    <row r="11" spans="1:5" ht="15.75" customHeight="1" x14ac:dyDescent="0.35">
      <c r="A11" s="77"/>
      <c r="B11" s="78"/>
      <c r="C11" s="80"/>
      <c r="D11" s="77"/>
      <c r="E11" s="77"/>
    </row>
    <row r="12" spans="1:5" ht="15.75" customHeight="1" x14ac:dyDescent="0.35">
      <c r="A12" s="77"/>
      <c r="B12" s="77"/>
      <c r="C12" s="77"/>
      <c r="D12" s="77"/>
      <c r="E12" s="77"/>
    </row>
    <row r="13" spans="1:5" ht="15.75" customHeight="1" x14ac:dyDescent="0.35">
      <c r="A13" s="77"/>
      <c r="B13" s="81"/>
      <c r="C13" s="82"/>
      <c r="D13" s="83"/>
      <c r="E13" s="83"/>
    </row>
    <row r="14" spans="1:5" ht="15.75" customHeight="1" x14ac:dyDescent="0.35">
      <c r="A14" s="77"/>
      <c r="B14" s="78"/>
      <c r="C14" s="84"/>
      <c r="D14" s="83"/>
      <c r="E14" s="83"/>
    </row>
    <row r="15" spans="1:5" ht="15.75" customHeight="1" x14ac:dyDescent="0.35">
      <c r="A15" s="77"/>
      <c r="B15" s="78"/>
      <c r="C15" s="84"/>
      <c r="D15" s="83"/>
      <c r="E15" s="83"/>
    </row>
    <row r="16" spans="1:5" ht="15.75" customHeight="1" x14ac:dyDescent="0.35">
      <c r="A16" s="77"/>
      <c r="B16" s="78"/>
      <c r="C16" s="84"/>
      <c r="D16" s="83"/>
      <c r="E16" s="83"/>
    </row>
    <row r="17" spans="1:5" ht="15.75" customHeight="1" x14ac:dyDescent="0.35">
      <c r="A17" s="77"/>
      <c r="B17" s="78"/>
      <c r="C17" s="84"/>
      <c r="D17" s="83"/>
      <c r="E17" s="83"/>
    </row>
    <row r="18" spans="1:5" ht="15.75" customHeight="1" x14ac:dyDescent="0.35">
      <c r="A18" s="77"/>
      <c r="B18" s="78"/>
      <c r="C18" s="84"/>
      <c r="D18" s="83"/>
      <c r="E18" s="83"/>
    </row>
    <row r="19" spans="1:5" ht="15.75" customHeight="1" x14ac:dyDescent="0.35">
      <c r="A19" s="77"/>
      <c r="B19" s="78"/>
      <c r="C19" s="84"/>
      <c r="D19" s="83"/>
      <c r="E19" s="83"/>
    </row>
    <row r="20" spans="1:5" ht="15.75" customHeight="1" x14ac:dyDescent="0.35">
      <c r="A20" s="77"/>
      <c r="B20" s="78"/>
      <c r="C20" s="84"/>
      <c r="D20" s="83"/>
      <c r="E20" s="83"/>
    </row>
    <row r="21" spans="1:5" ht="15.75" customHeight="1" x14ac:dyDescent="0.35">
      <c r="A21" s="77"/>
      <c r="B21" s="78"/>
      <c r="C21" s="84"/>
      <c r="D21" s="83"/>
      <c r="E21" s="83"/>
    </row>
    <row r="22" spans="1:5" ht="15.75" customHeight="1" x14ac:dyDescent="0.35">
      <c r="A22" s="77"/>
      <c r="B22" s="78"/>
      <c r="C22" s="84"/>
      <c r="D22" s="83"/>
      <c r="E22" s="83"/>
    </row>
    <row r="23" spans="1:5" ht="15.75" customHeight="1" x14ac:dyDescent="0.35">
      <c r="A23" s="77"/>
      <c r="B23" s="78"/>
      <c r="C23" s="84"/>
      <c r="D23" s="83"/>
      <c r="E23" s="83"/>
    </row>
    <row r="24" spans="1:5" ht="15.75" customHeight="1" x14ac:dyDescent="0.35">
      <c r="A24" s="77"/>
      <c r="B24" s="78"/>
      <c r="C24" s="84"/>
      <c r="D24" s="83"/>
      <c r="E24" s="83"/>
    </row>
    <row r="25" spans="1:5" ht="15.75" customHeight="1" x14ac:dyDescent="0.35">
      <c r="A25" s="77"/>
      <c r="B25" s="78"/>
      <c r="C25" s="84"/>
      <c r="D25" s="83"/>
      <c r="E25" s="83"/>
    </row>
    <row r="26" spans="1:5" ht="15.75" customHeight="1" x14ac:dyDescent="0.35">
      <c r="A26" s="77"/>
      <c r="B26" s="78"/>
      <c r="C26" s="84"/>
      <c r="D26" s="83"/>
      <c r="E26" s="83"/>
    </row>
    <row r="27" spans="1:5" ht="15.75" customHeight="1" x14ac:dyDescent="0.35">
      <c r="A27" s="77"/>
      <c r="B27" s="78"/>
      <c r="C27" s="84"/>
      <c r="D27" s="83"/>
      <c r="E27" s="83"/>
    </row>
    <row r="28" spans="1:5" ht="15.75" customHeight="1" x14ac:dyDescent="0.35">
      <c r="A28" s="77"/>
      <c r="B28" s="78"/>
      <c r="C28" s="84"/>
      <c r="D28" s="83"/>
      <c r="E28" s="83"/>
    </row>
    <row r="29" spans="1:5" ht="15.75" customHeight="1" x14ac:dyDescent="0.35">
      <c r="A29" s="77"/>
      <c r="B29" s="78"/>
      <c r="C29" s="84"/>
      <c r="D29" s="83"/>
      <c r="E29" s="83"/>
    </row>
    <row r="30" spans="1:5" ht="15.75" customHeight="1" x14ac:dyDescent="0.35">
      <c r="A30" s="77"/>
      <c r="B30" s="78"/>
      <c r="C30" s="84"/>
      <c r="D30" s="83"/>
      <c r="E30" s="83"/>
    </row>
    <row r="31" spans="1:5" ht="15.75" customHeight="1" x14ac:dyDescent="0.35">
      <c r="A31" s="77"/>
      <c r="B31" s="78"/>
      <c r="C31" s="84"/>
      <c r="D31" s="83"/>
      <c r="E31" s="83"/>
    </row>
    <row r="32" spans="1:5" ht="15.75" customHeight="1" x14ac:dyDescent="0.35">
      <c r="A32" s="77"/>
      <c r="B32" s="78"/>
      <c r="C32" s="84"/>
      <c r="D32" s="83"/>
      <c r="E32" s="83"/>
    </row>
    <row r="33" spans="1:5" ht="15.75" customHeight="1" x14ac:dyDescent="0.35">
      <c r="A33" s="77"/>
      <c r="B33" s="78"/>
      <c r="C33" s="84"/>
      <c r="D33" s="83"/>
      <c r="E33" s="83"/>
    </row>
    <row r="34" spans="1:5" ht="15.75" customHeight="1" x14ac:dyDescent="0.35">
      <c r="A34" s="77"/>
      <c r="B34" s="78"/>
      <c r="C34" s="84"/>
      <c r="D34" s="83"/>
      <c r="E34" s="83"/>
    </row>
    <row r="35" spans="1:5" ht="15.75" customHeight="1" x14ac:dyDescent="0.35">
      <c r="A35" s="77"/>
      <c r="B35" s="78"/>
      <c r="C35" s="84"/>
      <c r="D35" s="83"/>
      <c r="E35" s="83"/>
    </row>
    <row r="36" spans="1:5" ht="15.75" customHeight="1" x14ac:dyDescent="0.35">
      <c r="A36" s="77"/>
      <c r="B36" s="78"/>
      <c r="C36" s="84"/>
      <c r="D36" s="83"/>
      <c r="E36" s="83"/>
    </row>
    <row r="37" spans="1:5" ht="15.75" customHeight="1" x14ac:dyDescent="0.35">
      <c r="A37" s="77"/>
      <c r="B37" s="78"/>
      <c r="C37" s="84"/>
      <c r="D37" s="83"/>
      <c r="E37" s="83"/>
    </row>
    <row r="38" spans="1:5" ht="15.75" customHeight="1" x14ac:dyDescent="0.35">
      <c r="A38" s="77"/>
      <c r="B38" s="78"/>
      <c r="C38" s="84"/>
      <c r="D38" s="83"/>
      <c r="E38" s="83"/>
    </row>
    <row r="39" spans="1:5" ht="15.75" customHeight="1" x14ac:dyDescent="0.35">
      <c r="A39" s="77"/>
      <c r="B39" s="78"/>
      <c r="C39" s="84"/>
      <c r="D39" s="83"/>
      <c r="E39" s="83"/>
    </row>
    <row r="40" spans="1:5" ht="15.75" customHeight="1" x14ac:dyDescent="0.35">
      <c r="A40" s="77"/>
      <c r="B40" s="78"/>
      <c r="C40" s="84"/>
      <c r="D40" s="83"/>
      <c r="E40" s="83"/>
    </row>
    <row r="41" spans="1:5" ht="15.75" customHeight="1" x14ac:dyDescent="0.35">
      <c r="A41" s="77"/>
      <c r="B41" s="78"/>
      <c r="C41" s="84"/>
      <c r="D41" s="83"/>
      <c r="E41" s="83"/>
    </row>
    <row r="42" spans="1:5" ht="15.75" customHeight="1" x14ac:dyDescent="0.35">
      <c r="A42" s="77"/>
      <c r="B42" s="78"/>
      <c r="C42" s="84"/>
      <c r="D42" s="83"/>
      <c r="E42" s="83"/>
    </row>
    <row r="43" spans="1:5" ht="15.75" customHeight="1" x14ac:dyDescent="0.35">
      <c r="A43" s="77"/>
      <c r="B43" s="78"/>
      <c r="C43" s="84"/>
      <c r="D43" s="83"/>
      <c r="E43" s="83"/>
    </row>
    <row r="44" spans="1:5" ht="15.75" customHeight="1" x14ac:dyDescent="0.35">
      <c r="A44" s="77"/>
      <c r="B44" s="78"/>
      <c r="C44" s="84"/>
      <c r="D44" s="83"/>
      <c r="E44" s="83"/>
    </row>
    <row r="45" spans="1:5" ht="15.75" customHeight="1" x14ac:dyDescent="0.25">
      <c r="A45" s="83"/>
      <c r="B45" s="83"/>
      <c r="C45" s="83"/>
      <c r="D45" s="83"/>
      <c r="E45" s="83"/>
    </row>
    <row r="46" spans="1:5" ht="12" customHeight="1" x14ac:dyDescent="0.25">
      <c r="A46" s="83"/>
      <c r="B46" s="83"/>
      <c r="C46" s="83"/>
      <c r="D46" s="83"/>
      <c r="E46" s="83"/>
    </row>
    <row r="47" spans="1:5" ht="12" customHeight="1" x14ac:dyDescent="0.25">
      <c r="A47" s="83"/>
      <c r="B47" s="83"/>
      <c r="C47" s="83"/>
      <c r="D47" s="83"/>
      <c r="E47" s="83"/>
    </row>
    <row r="48" spans="1:5" ht="12" customHeight="1" x14ac:dyDescent="0.25">
      <c r="A48" s="83"/>
      <c r="B48" s="83"/>
      <c r="C48" s="83"/>
      <c r="D48" s="83"/>
      <c r="E48" s="83"/>
    </row>
    <row r="49" spans="1:5" ht="12" customHeight="1" x14ac:dyDescent="0.25">
      <c r="A49" s="83"/>
      <c r="B49" s="83"/>
      <c r="C49" s="83"/>
      <c r="D49" s="83"/>
      <c r="E49" s="83"/>
    </row>
    <row r="50" spans="1:5" ht="12" customHeight="1" x14ac:dyDescent="0.25">
      <c r="A50" s="83"/>
      <c r="B50" s="83"/>
      <c r="C50" s="83"/>
      <c r="D50" s="83"/>
      <c r="E50" s="83"/>
    </row>
    <row r="51" spans="1:5" ht="12" customHeight="1" x14ac:dyDescent="0.25">
      <c r="A51" s="83"/>
      <c r="B51" s="83"/>
      <c r="C51" s="83"/>
      <c r="D51" s="83"/>
      <c r="E51" s="83"/>
    </row>
    <row r="52" spans="1:5" ht="12" customHeight="1" x14ac:dyDescent="0.25">
      <c r="A52" s="83"/>
      <c r="B52" s="83"/>
      <c r="C52" s="83"/>
      <c r="D52" s="83"/>
      <c r="E52" s="83"/>
    </row>
    <row r="53" spans="1:5" ht="12" customHeight="1" x14ac:dyDescent="0.25">
      <c r="A53" s="83"/>
      <c r="B53" s="83"/>
      <c r="C53" s="83"/>
      <c r="D53" s="83"/>
      <c r="E53" s="83"/>
    </row>
    <row r="54" spans="1:5" ht="12" customHeight="1" x14ac:dyDescent="0.25">
      <c r="A54" s="83"/>
      <c r="B54" s="83"/>
      <c r="C54" s="83"/>
      <c r="D54" s="83"/>
      <c r="E54" s="83"/>
    </row>
    <row r="55" spans="1:5" ht="12" customHeight="1" x14ac:dyDescent="0.25">
      <c r="A55" s="83"/>
      <c r="B55" s="83"/>
      <c r="C55" s="83"/>
      <c r="D55" s="83"/>
      <c r="E55" s="83"/>
    </row>
    <row r="56" spans="1:5" ht="12" customHeight="1" x14ac:dyDescent="0.25">
      <c r="A56" s="83"/>
      <c r="B56" s="83"/>
      <c r="C56" s="83"/>
      <c r="D56" s="83"/>
      <c r="E56" s="83"/>
    </row>
    <row r="57" spans="1:5" ht="12" customHeight="1" x14ac:dyDescent="0.25">
      <c r="A57" s="83"/>
      <c r="B57" s="83"/>
      <c r="C57" s="83"/>
      <c r="D57" s="83"/>
      <c r="E57" s="83"/>
    </row>
    <row r="58" spans="1:5" ht="12" customHeight="1" x14ac:dyDescent="0.25">
      <c r="A58" s="83"/>
      <c r="B58" s="83"/>
      <c r="C58" s="83"/>
      <c r="D58" s="83"/>
      <c r="E58" s="83"/>
    </row>
    <row r="59" spans="1:5" ht="12" customHeight="1" x14ac:dyDescent="0.25">
      <c r="A59" s="83"/>
      <c r="B59" s="83"/>
      <c r="C59" s="83"/>
      <c r="D59" s="83"/>
      <c r="E59" s="83"/>
    </row>
    <row r="60" spans="1:5" ht="12" customHeight="1" x14ac:dyDescent="0.25">
      <c r="A60" s="83"/>
      <c r="B60" s="83"/>
      <c r="C60" s="83"/>
      <c r="D60" s="83"/>
      <c r="E60" s="83"/>
    </row>
    <row r="61" spans="1:5" ht="12" customHeight="1" x14ac:dyDescent="0.25">
      <c r="A61" s="83"/>
      <c r="B61" s="83"/>
      <c r="C61" s="83"/>
      <c r="D61" s="83"/>
      <c r="E61" s="83"/>
    </row>
    <row r="62" spans="1:5" ht="12" customHeight="1" x14ac:dyDescent="0.25">
      <c r="A62" s="83"/>
      <c r="B62" s="83"/>
      <c r="C62" s="83"/>
      <c r="D62" s="83"/>
      <c r="E62" s="83"/>
    </row>
    <row r="63" spans="1:5" ht="12" customHeight="1" x14ac:dyDescent="0.25">
      <c r="A63" s="83"/>
      <c r="B63" s="83"/>
      <c r="C63" s="83"/>
      <c r="D63" s="83"/>
      <c r="E63" s="83"/>
    </row>
    <row r="64" spans="1:5" ht="12" customHeight="1" x14ac:dyDescent="0.25">
      <c r="A64" s="83"/>
      <c r="B64" s="83"/>
      <c r="C64" s="83"/>
      <c r="D64" s="83"/>
      <c r="E64" s="83"/>
    </row>
    <row r="65" spans="1:5" ht="12" customHeight="1" x14ac:dyDescent="0.25">
      <c r="A65" s="83"/>
      <c r="B65" s="83"/>
      <c r="C65" s="83"/>
      <c r="D65" s="83"/>
      <c r="E65" s="83"/>
    </row>
    <row r="66" spans="1:5" ht="12" customHeight="1" x14ac:dyDescent="0.25">
      <c r="A66" s="83"/>
      <c r="B66" s="83"/>
      <c r="C66" s="83"/>
      <c r="D66" s="83"/>
      <c r="E66" s="83"/>
    </row>
    <row r="67" spans="1:5" ht="12" customHeight="1" x14ac:dyDescent="0.25">
      <c r="A67" s="83"/>
      <c r="B67" s="83"/>
      <c r="C67" s="83"/>
      <c r="D67" s="83"/>
      <c r="E67" s="83"/>
    </row>
    <row r="68" spans="1:5" ht="12" customHeight="1" x14ac:dyDescent="0.25">
      <c r="A68" s="83"/>
      <c r="B68" s="83"/>
      <c r="C68" s="83"/>
      <c r="D68" s="83"/>
      <c r="E68" s="83"/>
    </row>
    <row r="69" spans="1:5" ht="12" customHeight="1" x14ac:dyDescent="0.25">
      <c r="A69" s="83"/>
      <c r="B69" s="83"/>
      <c r="C69" s="83"/>
      <c r="D69" s="83"/>
      <c r="E69" s="83"/>
    </row>
    <row r="70" spans="1:5" ht="12" customHeight="1" x14ac:dyDescent="0.25">
      <c r="A70" s="83"/>
      <c r="B70" s="83"/>
      <c r="C70" s="83"/>
      <c r="D70" s="83"/>
      <c r="E70" s="83"/>
    </row>
    <row r="71" spans="1:5" ht="12" customHeight="1" x14ac:dyDescent="0.25">
      <c r="A71" s="83"/>
      <c r="B71" s="83"/>
      <c r="C71" s="83"/>
      <c r="D71" s="83"/>
      <c r="E71" s="83"/>
    </row>
    <row r="72" spans="1:5" ht="12" customHeight="1" x14ac:dyDescent="0.25">
      <c r="A72" s="83"/>
      <c r="B72" s="83"/>
      <c r="C72" s="83"/>
      <c r="D72" s="83"/>
      <c r="E72" s="83"/>
    </row>
    <row r="73" spans="1:5" ht="12" customHeight="1" x14ac:dyDescent="0.25">
      <c r="A73" s="83"/>
      <c r="B73" s="83"/>
      <c r="C73" s="83"/>
      <c r="D73" s="83"/>
      <c r="E73" s="83"/>
    </row>
    <row r="74" spans="1:5" ht="12" customHeight="1" x14ac:dyDescent="0.25">
      <c r="A74" s="83"/>
      <c r="B74" s="83"/>
      <c r="C74" s="83"/>
      <c r="D74" s="83"/>
      <c r="E74" s="83"/>
    </row>
    <row r="75" spans="1:5" ht="12" customHeight="1" x14ac:dyDescent="0.25">
      <c r="A75" s="83"/>
      <c r="B75" s="83"/>
      <c r="C75" s="83"/>
      <c r="D75" s="83"/>
      <c r="E75" s="83"/>
    </row>
    <row r="76" spans="1:5" ht="12" customHeight="1" x14ac:dyDescent="0.25">
      <c r="A76" s="83"/>
      <c r="B76" s="83"/>
      <c r="C76" s="83"/>
      <c r="D76" s="83"/>
      <c r="E76" s="83"/>
    </row>
    <row r="77" spans="1:5" ht="12" customHeight="1" x14ac:dyDescent="0.25">
      <c r="A77" s="83"/>
      <c r="B77" s="83"/>
      <c r="C77" s="83"/>
      <c r="D77" s="83"/>
      <c r="E77" s="83"/>
    </row>
    <row r="78" spans="1:5" ht="12" customHeight="1" x14ac:dyDescent="0.25">
      <c r="A78" s="83"/>
      <c r="B78" s="83"/>
      <c r="C78" s="83"/>
      <c r="D78" s="83"/>
      <c r="E78" s="83"/>
    </row>
    <row r="79" spans="1:5" ht="12" customHeight="1" x14ac:dyDescent="0.25">
      <c r="A79" s="83"/>
      <c r="B79" s="83"/>
      <c r="C79" s="83"/>
      <c r="D79" s="83"/>
      <c r="E79" s="83"/>
    </row>
    <row r="80" spans="1:5" ht="12" customHeight="1" x14ac:dyDescent="0.25">
      <c r="A80" s="83"/>
      <c r="B80" s="83"/>
      <c r="C80" s="83"/>
      <c r="D80" s="83"/>
      <c r="E80" s="83"/>
    </row>
    <row r="81" spans="1:5" ht="12" customHeight="1" x14ac:dyDescent="0.25">
      <c r="A81" s="83"/>
      <c r="B81" s="83"/>
      <c r="C81" s="83"/>
      <c r="D81" s="83"/>
      <c r="E81" s="83"/>
    </row>
    <row r="82" spans="1:5" ht="12" customHeight="1" x14ac:dyDescent="0.25">
      <c r="A82" s="83"/>
      <c r="B82" s="83"/>
      <c r="C82" s="83"/>
      <c r="D82" s="83"/>
      <c r="E82" s="83"/>
    </row>
    <row r="83" spans="1:5" ht="12" customHeight="1" x14ac:dyDescent="0.25">
      <c r="A83" s="83"/>
      <c r="B83" s="83"/>
      <c r="C83" s="83"/>
      <c r="D83" s="83"/>
      <c r="E83" s="83"/>
    </row>
    <row r="84" spans="1:5" ht="12" customHeight="1" x14ac:dyDescent="0.25">
      <c r="A84" s="83"/>
      <c r="B84" s="83"/>
      <c r="C84" s="83"/>
      <c r="D84" s="83"/>
      <c r="E84" s="83"/>
    </row>
    <row r="85" spans="1:5" ht="12" customHeight="1" x14ac:dyDescent="0.25">
      <c r="A85" s="83"/>
      <c r="B85" s="83"/>
      <c r="C85" s="83"/>
      <c r="D85" s="83"/>
      <c r="E85" s="83"/>
    </row>
    <row r="86" spans="1:5" ht="12" customHeight="1" x14ac:dyDescent="0.25">
      <c r="A86" s="83"/>
      <c r="B86" s="83"/>
      <c r="C86" s="83"/>
      <c r="D86" s="83"/>
      <c r="E86" s="83"/>
    </row>
    <row r="87" spans="1:5" ht="12" customHeight="1" x14ac:dyDescent="0.25">
      <c r="A87" s="83"/>
      <c r="B87" s="83"/>
      <c r="C87" s="83"/>
      <c r="D87" s="83"/>
      <c r="E87" s="83"/>
    </row>
    <row r="88" spans="1:5" ht="12" customHeight="1" x14ac:dyDescent="0.25">
      <c r="A88" s="83"/>
      <c r="B88" s="83"/>
      <c r="C88" s="83"/>
      <c r="D88" s="83"/>
      <c r="E88" s="83"/>
    </row>
    <row r="89" spans="1:5" ht="12" customHeight="1" x14ac:dyDescent="0.25">
      <c r="A89" s="83"/>
      <c r="B89" s="83"/>
      <c r="C89" s="83"/>
      <c r="D89" s="83"/>
      <c r="E89" s="83"/>
    </row>
    <row r="90" spans="1:5" ht="12" customHeight="1" x14ac:dyDescent="0.25">
      <c r="A90" s="83"/>
      <c r="B90" s="83"/>
      <c r="C90" s="83"/>
      <c r="D90" s="83"/>
      <c r="E90" s="83"/>
    </row>
    <row r="91" spans="1:5" ht="12" customHeight="1" x14ac:dyDescent="0.25">
      <c r="A91" s="83"/>
      <c r="B91" s="83"/>
      <c r="C91" s="83"/>
      <c r="D91" s="83"/>
      <c r="E91" s="83"/>
    </row>
    <row r="92" spans="1:5" ht="12" customHeight="1" x14ac:dyDescent="0.25">
      <c r="A92" s="83"/>
      <c r="B92" s="83"/>
      <c r="C92" s="83"/>
      <c r="D92" s="83"/>
      <c r="E92" s="83"/>
    </row>
    <row r="93" spans="1:5" ht="12" customHeight="1" x14ac:dyDescent="0.25">
      <c r="A93" s="83"/>
      <c r="B93" s="83"/>
      <c r="C93" s="83"/>
      <c r="D93" s="83"/>
      <c r="E93" s="83"/>
    </row>
    <row r="94" spans="1:5" ht="12" customHeight="1" x14ac:dyDescent="0.25">
      <c r="A94" s="83"/>
      <c r="B94" s="83"/>
      <c r="C94" s="83"/>
      <c r="D94" s="83"/>
      <c r="E94" s="83"/>
    </row>
    <row r="95" spans="1:5" ht="12" customHeight="1" x14ac:dyDescent="0.25">
      <c r="A95" s="83"/>
      <c r="B95" s="83"/>
      <c r="C95" s="83"/>
      <c r="D95" s="83"/>
      <c r="E95" s="83"/>
    </row>
    <row r="96" spans="1:5" ht="12" customHeight="1" x14ac:dyDescent="0.25">
      <c r="A96" s="83"/>
      <c r="B96" s="83"/>
      <c r="C96" s="83"/>
      <c r="D96" s="83"/>
      <c r="E96" s="83"/>
    </row>
    <row r="97" spans="1:5" ht="12" customHeight="1" x14ac:dyDescent="0.25">
      <c r="A97" s="83"/>
      <c r="B97" s="83"/>
      <c r="C97" s="83"/>
      <c r="D97" s="83"/>
      <c r="E97" s="83"/>
    </row>
    <row r="98" spans="1:5" ht="12" customHeight="1" x14ac:dyDescent="0.25">
      <c r="A98" s="83"/>
      <c r="B98" s="83"/>
      <c r="C98" s="83"/>
      <c r="D98" s="83"/>
      <c r="E98" s="83"/>
    </row>
    <row r="99" spans="1:5" ht="12" customHeight="1" x14ac:dyDescent="0.25">
      <c r="A99" s="83"/>
      <c r="B99" s="83"/>
      <c r="C99" s="83"/>
      <c r="D99" s="83"/>
      <c r="E99" s="83"/>
    </row>
    <row r="100" spans="1:5" ht="12" customHeight="1" x14ac:dyDescent="0.25">
      <c r="A100" s="83"/>
      <c r="B100" s="83"/>
      <c r="C100" s="83"/>
      <c r="D100" s="83"/>
      <c r="E100" s="83"/>
    </row>
    <row r="101" spans="1:5" ht="12" customHeight="1" x14ac:dyDescent="0.25">
      <c r="A101" s="83"/>
      <c r="B101" s="83"/>
      <c r="C101" s="83"/>
      <c r="D101" s="83"/>
      <c r="E101" s="83"/>
    </row>
    <row r="102" spans="1:5" ht="12" customHeight="1" x14ac:dyDescent="0.25">
      <c r="A102" s="83"/>
      <c r="B102" s="83"/>
      <c r="C102" s="83"/>
      <c r="D102" s="83"/>
      <c r="E102" s="83"/>
    </row>
    <row r="103" spans="1:5" ht="12" customHeight="1" x14ac:dyDescent="0.25">
      <c r="A103" s="83"/>
      <c r="B103" s="83"/>
      <c r="C103" s="83"/>
      <c r="D103" s="83"/>
      <c r="E103" s="83"/>
    </row>
    <row r="104" spans="1:5" ht="12" customHeight="1" x14ac:dyDescent="0.25">
      <c r="A104" s="83"/>
      <c r="B104" s="83"/>
      <c r="C104" s="83"/>
      <c r="D104" s="83"/>
      <c r="E104" s="83"/>
    </row>
    <row r="105" spans="1:5" ht="12" customHeight="1" x14ac:dyDescent="0.25">
      <c r="A105" s="83"/>
      <c r="B105" s="83"/>
      <c r="C105" s="83"/>
      <c r="D105" s="83"/>
      <c r="E105" s="83"/>
    </row>
    <row r="106" spans="1:5" ht="12" customHeight="1" x14ac:dyDescent="0.25">
      <c r="A106" s="83"/>
      <c r="B106" s="83"/>
      <c r="C106" s="83"/>
      <c r="D106" s="83"/>
      <c r="E106" s="83"/>
    </row>
    <row r="107" spans="1:5" ht="12" customHeight="1" x14ac:dyDescent="0.25">
      <c r="A107" s="83"/>
      <c r="B107" s="83"/>
      <c r="C107" s="83"/>
      <c r="D107" s="83"/>
      <c r="E107" s="83"/>
    </row>
    <row r="108" spans="1:5" ht="12" customHeight="1" x14ac:dyDescent="0.25">
      <c r="A108" s="83"/>
      <c r="B108" s="83"/>
      <c r="C108" s="83"/>
      <c r="D108" s="83"/>
      <c r="E108" s="83"/>
    </row>
    <row r="109" spans="1:5" ht="12" customHeight="1" x14ac:dyDescent="0.25">
      <c r="A109" s="83"/>
      <c r="B109" s="83"/>
      <c r="C109" s="83"/>
      <c r="D109" s="83"/>
      <c r="E109" s="83"/>
    </row>
    <row r="110" spans="1:5" ht="12" customHeight="1" x14ac:dyDescent="0.25">
      <c r="A110" s="83"/>
      <c r="B110" s="83"/>
      <c r="C110" s="83"/>
      <c r="D110" s="83"/>
      <c r="E110" s="83"/>
    </row>
    <row r="111" spans="1:5" ht="12" customHeight="1" x14ac:dyDescent="0.25">
      <c r="A111" s="83"/>
      <c r="B111" s="83"/>
      <c r="C111" s="83"/>
      <c r="D111" s="83"/>
      <c r="E111" s="83"/>
    </row>
    <row r="112" spans="1:5" ht="12" customHeight="1" x14ac:dyDescent="0.25">
      <c r="A112" s="83"/>
      <c r="B112" s="83"/>
      <c r="C112" s="83"/>
      <c r="D112" s="83"/>
      <c r="E112" s="83"/>
    </row>
    <row r="113" spans="1:5" ht="12" customHeight="1" x14ac:dyDescent="0.25">
      <c r="A113" s="83"/>
      <c r="B113" s="83"/>
      <c r="C113" s="83"/>
      <c r="D113" s="83"/>
      <c r="E113" s="83"/>
    </row>
    <row r="114" spans="1:5" ht="12" customHeight="1" x14ac:dyDescent="0.25">
      <c r="A114" s="83"/>
      <c r="B114" s="83"/>
      <c r="C114" s="83"/>
      <c r="D114" s="83"/>
      <c r="E114" s="83"/>
    </row>
    <row r="115" spans="1:5" ht="12" customHeight="1" x14ac:dyDescent="0.25">
      <c r="A115" s="83"/>
      <c r="B115" s="83"/>
      <c r="C115" s="83"/>
      <c r="D115" s="83"/>
      <c r="E115" s="83"/>
    </row>
    <row r="116" spans="1:5" ht="12" customHeight="1" x14ac:dyDescent="0.25">
      <c r="A116" s="83"/>
      <c r="B116" s="83"/>
      <c r="C116" s="83"/>
      <c r="D116" s="83"/>
      <c r="E116" s="83"/>
    </row>
    <row r="117" spans="1:5" ht="12" customHeight="1" x14ac:dyDescent="0.25">
      <c r="A117" s="83"/>
      <c r="B117" s="83"/>
      <c r="C117" s="83"/>
      <c r="D117" s="83"/>
      <c r="E117" s="83"/>
    </row>
    <row r="118" spans="1:5" ht="12" customHeight="1" x14ac:dyDescent="0.25">
      <c r="A118" s="83"/>
      <c r="B118" s="83"/>
      <c r="C118" s="83"/>
      <c r="D118" s="83"/>
      <c r="E118" s="83"/>
    </row>
    <row r="119" spans="1:5" ht="12" customHeight="1" x14ac:dyDescent="0.25">
      <c r="A119" s="83"/>
      <c r="B119" s="83"/>
      <c r="C119" s="83"/>
      <c r="D119" s="83"/>
      <c r="E119" s="83"/>
    </row>
    <row r="120" spans="1:5" ht="12" customHeight="1" x14ac:dyDescent="0.25">
      <c r="A120" s="83"/>
      <c r="B120" s="83"/>
      <c r="C120" s="83"/>
      <c r="D120" s="83"/>
      <c r="E120" s="83"/>
    </row>
    <row r="121" spans="1:5" ht="12" customHeight="1" x14ac:dyDescent="0.25">
      <c r="A121" s="83"/>
      <c r="B121" s="83"/>
      <c r="C121" s="83"/>
      <c r="D121" s="83"/>
      <c r="E121" s="83"/>
    </row>
    <row r="122" spans="1:5" ht="12" customHeight="1" x14ac:dyDescent="0.25">
      <c r="A122" s="83"/>
      <c r="B122" s="83"/>
      <c r="C122" s="83"/>
      <c r="D122" s="83"/>
      <c r="E122" s="83"/>
    </row>
    <row r="123" spans="1:5" ht="12" customHeight="1" x14ac:dyDescent="0.25">
      <c r="A123" s="83"/>
      <c r="B123" s="83"/>
      <c r="C123" s="83"/>
      <c r="D123" s="83"/>
      <c r="E123" s="83"/>
    </row>
    <row r="124" spans="1:5" ht="12" customHeight="1" x14ac:dyDescent="0.25">
      <c r="A124" s="83"/>
      <c r="B124" s="83"/>
      <c r="C124" s="83"/>
      <c r="D124" s="83"/>
      <c r="E124" s="83"/>
    </row>
    <row r="125" spans="1:5" ht="12" customHeight="1" x14ac:dyDescent="0.25">
      <c r="A125" s="83"/>
      <c r="B125" s="83"/>
      <c r="C125" s="83"/>
      <c r="D125" s="83"/>
      <c r="E125" s="83"/>
    </row>
    <row r="126" spans="1:5" ht="12" customHeight="1" x14ac:dyDescent="0.25">
      <c r="A126" s="83"/>
      <c r="B126" s="83"/>
      <c r="C126" s="83"/>
      <c r="D126" s="83"/>
      <c r="E126" s="83"/>
    </row>
    <row r="127" spans="1:5" ht="12" customHeight="1" x14ac:dyDescent="0.25">
      <c r="A127" s="83"/>
      <c r="B127" s="83"/>
      <c r="C127" s="83"/>
      <c r="D127" s="83"/>
      <c r="E127" s="83"/>
    </row>
    <row r="128" spans="1:5" ht="12" customHeight="1" x14ac:dyDescent="0.25">
      <c r="A128" s="83"/>
      <c r="B128" s="83"/>
      <c r="C128" s="83"/>
      <c r="D128" s="83"/>
      <c r="E128" s="83"/>
    </row>
    <row r="129" spans="1:5" ht="12" customHeight="1" x14ac:dyDescent="0.25">
      <c r="A129" s="83"/>
      <c r="B129" s="83"/>
      <c r="C129" s="83"/>
      <c r="D129" s="83"/>
      <c r="E129" s="83"/>
    </row>
    <row r="130" spans="1:5" ht="12" customHeight="1" x14ac:dyDescent="0.25">
      <c r="A130" s="83"/>
      <c r="B130" s="83"/>
      <c r="C130" s="83"/>
      <c r="D130" s="83"/>
      <c r="E130" s="83"/>
    </row>
    <row r="131" spans="1:5" ht="12" customHeight="1" x14ac:dyDescent="0.25">
      <c r="A131" s="83"/>
      <c r="B131" s="83"/>
      <c r="C131" s="83"/>
      <c r="D131" s="83"/>
      <c r="E131" s="83"/>
    </row>
    <row r="132" spans="1:5" ht="12" customHeight="1" x14ac:dyDescent="0.25">
      <c r="A132" s="83"/>
      <c r="B132" s="83"/>
      <c r="C132" s="83"/>
      <c r="D132" s="83"/>
      <c r="E132" s="83"/>
    </row>
    <row r="133" spans="1:5" ht="12" customHeight="1" x14ac:dyDescent="0.25">
      <c r="A133" s="83"/>
      <c r="B133" s="83"/>
      <c r="C133" s="83"/>
      <c r="D133" s="83"/>
      <c r="E133" s="83"/>
    </row>
    <row r="134" spans="1:5" ht="12" customHeight="1" x14ac:dyDescent="0.25">
      <c r="A134" s="83"/>
      <c r="B134" s="83"/>
      <c r="C134" s="83"/>
      <c r="D134" s="83"/>
      <c r="E134" s="83"/>
    </row>
    <row r="135" spans="1:5" ht="12" customHeight="1" x14ac:dyDescent="0.25">
      <c r="A135" s="83"/>
      <c r="B135" s="83"/>
      <c r="C135" s="83"/>
      <c r="D135" s="83"/>
      <c r="E135" s="83"/>
    </row>
    <row r="136" spans="1:5" ht="12" customHeight="1" x14ac:dyDescent="0.25">
      <c r="A136" s="83"/>
      <c r="B136" s="83"/>
      <c r="C136" s="83"/>
      <c r="D136" s="83"/>
      <c r="E136" s="83"/>
    </row>
    <row r="137" spans="1:5" ht="12" customHeight="1" x14ac:dyDescent="0.25">
      <c r="A137" s="83"/>
      <c r="B137" s="83"/>
      <c r="C137" s="83"/>
      <c r="D137" s="83"/>
      <c r="E137" s="83"/>
    </row>
    <row r="138" spans="1:5" ht="12" customHeight="1" x14ac:dyDescent="0.25">
      <c r="A138" s="83"/>
      <c r="B138" s="83"/>
      <c r="C138" s="83"/>
      <c r="D138" s="83"/>
      <c r="E138" s="83"/>
    </row>
    <row r="139" spans="1:5" ht="12" customHeight="1" x14ac:dyDescent="0.25">
      <c r="A139" s="83"/>
      <c r="B139" s="83"/>
      <c r="C139" s="83"/>
      <c r="D139" s="83"/>
      <c r="E139" s="83"/>
    </row>
    <row r="140" spans="1:5" ht="12" customHeight="1" x14ac:dyDescent="0.25">
      <c r="A140" s="83"/>
      <c r="B140" s="83"/>
      <c r="C140" s="83"/>
      <c r="D140" s="83"/>
      <c r="E140" s="83"/>
    </row>
    <row r="141" spans="1:5" ht="12" customHeight="1" x14ac:dyDescent="0.25">
      <c r="A141" s="83"/>
      <c r="B141" s="83"/>
      <c r="C141" s="83"/>
      <c r="D141" s="83"/>
      <c r="E141" s="83"/>
    </row>
    <row r="142" spans="1:5" ht="12" customHeight="1" x14ac:dyDescent="0.25">
      <c r="A142" s="83"/>
      <c r="B142" s="83"/>
      <c r="C142" s="83"/>
      <c r="D142" s="83"/>
      <c r="E142" s="83"/>
    </row>
    <row r="143" spans="1:5" ht="12" customHeight="1" x14ac:dyDescent="0.25">
      <c r="A143" s="83"/>
      <c r="B143" s="83"/>
      <c r="C143" s="83"/>
      <c r="D143" s="83"/>
      <c r="E143" s="83"/>
    </row>
    <row r="144" spans="1:5" ht="12" customHeight="1" x14ac:dyDescent="0.25">
      <c r="A144" s="83"/>
      <c r="B144" s="83"/>
      <c r="C144" s="83"/>
      <c r="D144" s="83"/>
      <c r="E144" s="83"/>
    </row>
    <row r="145" spans="1:5" ht="12" customHeight="1" x14ac:dyDescent="0.25">
      <c r="A145" s="83"/>
      <c r="B145" s="83"/>
      <c r="C145" s="83"/>
      <c r="D145" s="83"/>
      <c r="E145" s="83"/>
    </row>
    <row r="146" spans="1:5" ht="12" customHeight="1" x14ac:dyDescent="0.25">
      <c r="A146" s="83"/>
      <c r="B146" s="83"/>
      <c r="C146" s="83"/>
      <c r="D146" s="83"/>
      <c r="E146" s="83"/>
    </row>
    <row r="147" spans="1:5" ht="12" customHeight="1" x14ac:dyDescent="0.25">
      <c r="A147" s="83"/>
      <c r="B147" s="83"/>
      <c r="C147" s="83"/>
      <c r="D147" s="83"/>
      <c r="E147" s="83"/>
    </row>
    <row r="148" spans="1:5" ht="12" customHeight="1" x14ac:dyDescent="0.25">
      <c r="A148" s="83"/>
      <c r="B148" s="83"/>
      <c r="C148" s="83"/>
      <c r="D148" s="83"/>
      <c r="E148" s="83"/>
    </row>
    <row r="149" spans="1:5" ht="12" customHeight="1" x14ac:dyDescent="0.25">
      <c r="A149" s="83"/>
      <c r="B149" s="83"/>
      <c r="C149" s="83"/>
      <c r="D149" s="83"/>
      <c r="E149" s="83"/>
    </row>
    <row r="150" spans="1:5" ht="12" customHeight="1" x14ac:dyDescent="0.25">
      <c r="A150" s="83"/>
      <c r="B150" s="83"/>
      <c r="C150" s="83"/>
      <c r="D150" s="83"/>
      <c r="E150" s="83"/>
    </row>
    <row r="151" spans="1:5" ht="12" customHeight="1" x14ac:dyDescent="0.25">
      <c r="A151" s="83"/>
      <c r="B151" s="83"/>
      <c r="C151" s="83"/>
      <c r="D151" s="83"/>
      <c r="E151" s="83"/>
    </row>
    <row r="152" spans="1:5" ht="12" customHeight="1" x14ac:dyDescent="0.25">
      <c r="A152" s="83"/>
      <c r="B152" s="83"/>
      <c r="C152" s="83"/>
      <c r="D152" s="83"/>
      <c r="E152" s="83"/>
    </row>
    <row r="153" spans="1:5" ht="12" customHeight="1" x14ac:dyDescent="0.25">
      <c r="A153" s="83"/>
      <c r="B153" s="83"/>
      <c r="C153" s="83"/>
      <c r="D153" s="83"/>
      <c r="E153" s="83"/>
    </row>
    <row r="154" spans="1:5" ht="12" customHeight="1" x14ac:dyDescent="0.25">
      <c r="A154" s="83"/>
      <c r="B154" s="83"/>
      <c r="C154" s="83"/>
      <c r="D154" s="83"/>
      <c r="E154" s="83"/>
    </row>
    <row r="155" spans="1:5" ht="12" customHeight="1" x14ac:dyDescent="0.25">
      <c r="A155" s="83"/>
      <c r="B155" s="83"/>
      <c r="C155" s="83"/>
      <c r="D155" s="83"/>
      <c r="E155" s="83"/>
    </row>
    <row r="156" spans="1:5" ht="12" customHeight="1" x14ac:dyDescent="0.25">
      <c r="A156" s="83"/>
      <c r="B156" s="83"/>
      <c r="C156" s="83"/>
      <c r="D156" s="83"/>
      <c r="E156" s="83"/>
    </row>
    <row r="157" spans="1:5" ht="12" customHeight="1" x14ac:dyDescent="0.25">
      <c r="A157" s="83"/>
      <c r="B157" s="83"/>
      <c r="C157" s="83"/>
      <c r="D157" s="83"/>
      <c r="E157" s="83"/>
    </row>
    <row r="158" spans="1:5" ht="12" customHeight="1" x14ac:dyDescent="0.25">
      <c r="A158" s="83"/>
      <c r="B158" s="83"/>
      <c r="C158" s="83"/>
      <c r="D158" s="83"/>
      <c r="E158" s="83"/>
    </row>
    <row r="159" spans="1:5" ht="12" customHeight="1" x14ac:dyDescent="0.25">
      <c r="A159" s="83"/>
      <c r="B159" s="83"/>
      <c r="C159" s="83"/>
      <c r="D159" s="83"/>
      <c r="E159" s="83"/>
    </row>
    <row r="160" spans="1:5" ht="12" customHeight="1" x14ac:dyDescent="0.25">
      <c r="A160" s="83"/>
      <c r="B160" s="83"/>
      <c r="C160" s="83"/>
      <c r="D160" s="83"/>
      <c r="E160" s="83"/>
    </row>
    <row r="161" spans="1:5" ht="12" customHeight="1" x14ac:dyDescent="0.25">
      <c r="A161" s="83"/>
      <c r="B161" s="83"/>
      <c r="C161" s="83"/>
      <c r="D161" s="83"/>
      <c r="E161" s="83"/>
    </row>
    <row r="162" spans="1:5" ht="12" customHeight="1" x14ac:dyDescent="0.25">
      <c r="A162" s="83"/>
      <c r="B162" s="83"/>
      <c r="C162" s="83"/>
      <c r="D162" s="83"/>
      <c r="E162" s="83"/>
    </row>
    <row r="163" spans="1:5" ht="12" customHeight="1" x14ac:dyDescent="0.25">
      <c r="A163" s="83"/>
      <c r="B163" s="83"/>
      <c r="C163" s="83"/>
      <c r="D163" s="83"/>
      <c r="E163" s="83"/>
    </row>
    <row r="164" spans="1:5" ht="12" customHeight="1" x14ac:dyDescent="0.25">
      <c r="A164" s="83"/>
      <c r="B164" s="83"/>
      <c r="C164" s="83"/>
      <c r="D164" s="83"/>
      <c r="E164" s="83"/>
    </row>
    <row r="165" spans="1:5" ht="12" customHeight="1" x14ac:dyDescent="0.25">
      <c r="A165" s="83"/>
      <c r="B165" s="83"/>
      <c r="C165" s="83"/>
      <c r="D165" s="83"/>
      <c r="E165" s="83"/>
    </row>
    <row r="166" spans="1:5" ht="12" customHeight="1" x14ac:dyDescent="0.25">
      <c r="A166" s="83"/>
      <c r="B166" s="83"/>
      <c r="C166" s="83"/>
      <c r="D166" s="83"/>
      <c r="E166" s="83"/>
    </row>
    <row r="167" spans="1:5" ht="12" customHeight="1" x14ac:dyDescent="0.25">
      <c r="A167" s="83"/>
      <c r="B167" s="83"/>
      <c r="C167" s="83"/>
      <c r="D167" s="83"/>
      <c r="E167" s="83"/>
    </row>
    <row r="168" spans="1:5" ht="12" customHeight="1" x14ac:dyDescent="0.25">
      <c r="A168" s="83"/>
      <c r="B168" s="83"/>
      <c r="C168" s="83"/>
      <c r="D168" s="83"/>
      <c r="E168" s="83"/>
    </row>
    <row r="169" spans="1:5" ht="12" customHeight="1" x14ac:dyDescent="0.25">
      <c r="A169" s="83"/>
      <c r="B169" s="83"/>
      <c r="C169" s="83"/>
      <c r="D169" s="83"/>
      <c r="E169" s="83"/>
    </row>
    <row r="170" spans="1:5" ht="12" customHeight="1" x14ac:dyDescent="0.25">
      <c r="A170" s="83"/>
      <c r="B170" s="83"/>
      <c r="C170" s="83"/>
      <c r="D170" s="83"/>
      <c r="E170" s="83"/>
    </row>
    <row r="171" spans="1:5" ht="12" customHeight="1" x14ac:dyDescent="0.25">
      <c r="A171" s="83"/>
      <c r="B171" s="83"/>
      <c r="C171" s="83"/>
      <c r="D171" s="83"/>
      <c r="E171" s="83"/>
    </row>
    <row r="172" spans="1:5" ht="12" customHeight="1" x14ac:dyDescent="0.25">
      <c r="A172" s="83"/>
      <c r="B172" s="83"/>
      <c r="C172" s="83"/>
      <c r="D172" s="83"/>
      <c r="E172" s="83"/>
    </row>
    <row r="173" spans="1:5" ht="12" customHeight="1" x14ac:dyDescent="0.25">
      <c r="A173" s="83"/>
      <c r="B173" s="83"/>
      <c r="C173" s="83"/>
      <c r="D173" s="83"/>
      <c r="E173" s="83"/>
    </row>
    <row r="174" spans="1:5" ht="12" customHeight="1" x14ac:dyDescent="0.25">
      <c r="A174" s="83"/>
      <c r="B174" s="83"/>
      <c r="C174" s="83"/>
      <c r="D174" s="83"/>
      <c r="E174" s="83"/>
    </row>
    <row r="175" spans="1:5" ht="12" customHeight="1" x14ac:dyDescent="0.25">
      <c r="A175" s="83"/>
      <c r="B175" s="83"/>
      <c r="C175" s="83"/>
      <c r="D175" s="83"/>
      <c r="E175" s="83"/>
    </row>
    <row r="176" spans="1:5" ht="12" customHeight="1" x14ac:dyDescent="0.25">
      <c r="A176" s="83"/>
      <c r="B176" s="83"/>
      <c r="C176" s="83"/>
      <c r="D176" s="83"/>
      <c r="E176" s="83"/>
    </row>
    <row r="177" spans="1:5" ht="12" customHeight="1" x14ac:dyDescent="0.25">
      <c r="A177" s="83"/>
      <c r="B177" s="83"/>
      <c r="C177" s="83"/>
      <c r="D177" s="83"/>
      <c r="E177" s="83"/>
    </row>
    <row r="178" spans="1:5" ht="12" customHeight="1" x14ac:dyDescent="0.25">
      <c r="A178" s="83"/>
      <c r="B178" s="83"/>
      <c r="C178" s="83"/>
      <c r="D178" s="83"/>
      <c r="E178" s="83"/>
    </row>
    <row r="179" spans="1:5" ht="12" customHeight="1" x14ac:dyDescent="0.25">
      <c r="A179" s="83"/>
      <c r="B179" s="83"/>
      <c r="C179" s="83"/>
      <c r="D179" s="83"/>
      <c r="E179" s="83"/>
    </row>
    <row r="180" spans="1:5" ht="12" customHeight="1" x14ac:dyDescent="0.25">
      <c r="A180" s="83"/>
      <c r="B180" s="83"/>
      <c r="C180" s="83"/>
      <c r="D180" s="83"/>
      <c r="E180" s="83"/>
    </row>
    <row r="181" spans="1:5" ht="12" customHeight="1" x14ac:dyDescent="0.25">
      <c r="A181" s="83"/>
      <c r="B181" s="83"/>
      <c r="C181" s="83"/>
      <c r="D181" s="83"/>
      <c r="E181" s="83"/>
    </row>
    <row r="182" spans="1:5" ht="12" customHeight="1" x14ac:dyDescent="0.25">
      <c r="A182" s="83"/>
      <c r="B182" s="83"/>
      <c r="C182" s="83"/>
      <c r="D182" s="83"/>
      <c r="E182" s="83"/>
    </row>
    <row r="183" spans="1:5" ht="12" customHeight="1" x14ac:dyDescent="0.25">
      <c r="A183" s="83"/>
      <c r="B183" s="83"/>
      <c r="C183" s="83"/>
      <c r="D183" s="83"/>
      <c r="E183" s="83"/>
    </row>
    <row r="184" spans="1:5" ht="12" customHeight="1" x14ac:dyDescent="0.25">
      <c r="A184" s="83"/>
      <c r="B184" s="83"/>
      <c r="C184" s="83"/>
      <c r="D184" s="83"/>
      <c r="E184" s="83"/>
    </row>
    <row r="185" spans="1:5" ht="12" customHeight="1" x14ac:dyDescent="0.25">
      <c r="A185" s="83"/>
      <c r="B185" s="83"/>
      <c r="C185" s="83"/>
      <c r="D185" s="83"/>
      <c r="E185" s="83"/>
    </row>
    <row r="186" spans="1:5" ht="12" customHeight="1" x14ac:dyDescent="0.25">
      <c r="A186" s="83"/>
      <c r="B186" s="83"/>
      <c r="C186" s="83"/>
      <c r="D186" s="83"/>
      <c r="E186" s="83"/>
    </row>
    <row r="187" spans="1:5" ht="12" customHeight="1" x14ac:dyDescent="0.25">
      <c r="A187" s="83"/>
      <c r="B187" s="83"/>
      <c r="C187" s="83"/>
      <c r="D187" s="83"/>
      <c r="E187" s="83"/>
    </row>
    <row r="188" spans="1:5" ht="12" customHeight="1" x14ac:dyDescent="0.25">
      <c r="A188" s="83"/>
      <c r="B188" s="83"/>
      <c r="C188" s="83"/>
      <c r="D188" s="83"/>
      <c r="E188" s="83"/>
    </row>
    <row r="189" spans="1:5" ht="12" customHeight="1" x14ac:dyDescent="0.25">
      <c r="A189" s="83"/>
      <c r="B189" s="83"/>
      <c r="C189" s="83"/>
      <c r="D189" s="83"/>
      <c r="E189" s="83"/>
    </row>
    <row r="190" spans="1:5" ht="12" customHeight="1" x14ac:dyDescent="0.25">
      <c r="A190" s="83"/>
      <c r="B190" s="83"/>
      <c r="C190" s="83"/>
      <c r="D190" s="83"/>
      <c r="E190" s="83"/>
    </row>
    <row r="191" spans="1:5" ht="12" customHeight="1" x14ac:dyDescent="0.25">
      <c r="A191" s="83"/>
      <c r="B191" s="83"/>
      <c r="C191" s="83"/>
      <c r="D191" s="83"/>
      <c r="E191" s="83"/>
    </row>
    <row r="192" spans="1:5" ht="12" customHeight="1" x14ac:dyDescent="0.25">
      <c r="A192" s="83"/>
      <c r="B192" s="83"/>
      <c r="C192" s="83"/>
      <c r="D192" s="83"/>
      <c r="E192" s="83"/>
    </row>
    <row r="193" spans="1:5" ht="12" customHeight="1" x14ac:dyDescent="0.25">
      <c r="A193" s="83"/>
      <c r="B193" s="83"/>
      <c r="C193" s="83"/>
      <c r="D193" s="83"/>
      <c r="E193" s="83"/>
    </row>
    <row r="194" spans="1:5" ht="12" customHeight="1" x14ac:dyDescent="0.25">
      <c r="A194" s="83"/>
      <c r="B194" s="83"/>
      <c r="C194" s="83"/>
      <c r="D194" s="83"/>
      <c r="E194" s="83"/>
    </row>
    <row r="195" spans="1:5" ht="12" customHeight="1" x14ac:dyDescent="0.25">
      <c r="A195" s="83"/>
      <c r="B195" s="83"/>
      <c r="C195" s="83"/>
      <c r="D195" s="83"/>
      <c r="E195" s="83"/>
    </row>
    <row r="196" spans="1:5" ht="12" customHeight="1" x14ac:dyDescent="0.25">
      <c r="A196" s="83"/>
      <c r="B196" s="83"/>
      <c r="C196" s="83"/>
      <c r="D196" s="83"/>
      <c r="E196" s="83"/>
    </row>
    <row r="197" spans="1:5" ht="12" customHeight="1" x14ac:dyDescent="0.25">
      <c r="A197" s="83"/>
      <c r="B197" s="83"/>
      <c r="C197" s="83"/>
      <c r="D197" s="83"/>
      <c r="E197" s="83"/>
    </row>
    <row r="198" spans="1:5" ht="12" customHeight="1" x14ac:dyDescent="0.25">
      <c r="A198" s="83"/>
      <c r="B198" s="83"/>
      <c r="C198" s="83"/>
      <c r="D198" s="83"/>
      <c r="E198" s="83"/>
    </row>
    <row r="199" spans="1:5" ht="12" customHeight="1" x14ac:dyDescent="0.25">
      <c r="A199" s="83"/>
      <c r="B199" s="83"/>
      <c r="C199" s="83"/>
      <c r="D199" s="83"/>
      <c r="E199" s="83"/>
    </row>
    <row r="200" spans="1:5" ht="12" customHeight="1" x14ac:dyDescent="0.25">
      <c r="A200" s="83"/>
      <c r="B200" s="83"/>
      <c r="C200" s="83"/>
      <c r="D200" s="83"/>
      <c r="E200" s="83"/>
    </row>
    <row r="201" spans="1:5" ht="12" customHeight="1" x14ac:dyDescent="0.25">
      <c r="A201" s="83"/>
      <c r="B201" s="83"/>
      <c r="C201" s="83"/>
      <c r="D201" s="83"/>
      <c r="E201" s="83"/>
    </row>
    <row r="202" spans="1:5" ht="12" customHeight="1" x14ac:dyDescent="0.25">
      <c r="A202" s="83"/>
      <c r="B202" s="83"/>
      <c r="C202" s="83"/>
      <c r="D202" s="83"/>
      <c r="E202" s="83"/>
    </row>
    <row r="203" spans="1:5" ht="12" customHeight="1" x14ac:dyDescent="0.25">
      <c r="A203" s="83"/>
      <c r="B203" s="83"/>
      <c r="C203" s="83"/>
      <c r="D203" s="83"/>
      <c r="E203" s="83"/>
    </row>
    <row r="204" spans="1:5" ht="12" customHeight="1" x14ac:dyDescent="0.25">
      <c r="A204" s="83"/>
      <c r="B204" s="83"/>
      <c r="C204" s="83"/>
      <c r="D204" s="83"/>
      <c r="E204" s="83"/>
    </row>
    <row r="205" spans="1:5" ht="12" customHeight="1" x14ac:dyDescent="0.25">
      <c r="A205" s="83"/>
      <c r="B205" s="83"/>
      <c r="C205" s="83"/>
      <c r="D205" s="83"/>
      <c r="E205" s="83"/>
    </row>
    <row r="206" spans="1:5" ht="12" customHeight="1" x14ac:dyDescent="0.25">
      <c r="A206" s="83"/>
      <c r="B206" s="83"/>
      <c r="C206" s="83"/>
      <c r="D206" s="83"/>
      <c r="E206" s="83"/>
    </row>
    <row r="207" spans="1:5" ht="12" customHeight="1" x14ac:dyDescent="0.25">
      <c r="A207" s="83"/>
      <c r="B207" s="83"/>
      <c r="C207" s="83"/>
      <c r="D207" s="83"/>
      <c r="E207" s="83"/>
    </row>
    <row r="208" spans="1:5" ht="12" customHeight="1" x14ac:dyDescent="0.25">
      <c r="A208" s="83"/>
      <c r="B208" s="83"/>
      <c r="C208" s="83"/>
      <c r="D208" s="83"/>
      <c r="E208" s="83"/>
    </row>
    <row r="209" spans="1:5" ht="12" customHeight="1" x14ac:dyDescent="0.25">
      <c r="A209" s="83"/>
      <c r="B209" s="83"/>
      <c r="C209" s="83"/>
      <c r="D209" s="83"/>
      <c r="E209" s="83"/>
    </row>
    <row r="210" spans="1:5" ht="12" customHeight="1" x14ac:dyDescent="0.25">
      <c r="A210" s="83"/>
      <c r="B210" s="83"/>
      <c r="C210" s="83"/>
      <c r="D210" s="83"/>
      <c r="E210" s="83"/>
    </row>
    <row r="211" spans="1:5" ht="12" customHeight="1" x14ac:dyDescent="0.25">
      <c r="A211" s="83"/>
      <c r="B211" s="83"/>
      <c r="C211" s="83"/>
      <c r="D211" s="83"/>
      <c r="E211" s="83"/>
    </row>
    <row r="212" spans="1:5" ht="12" customHeight="1" x14ac:dyDescent="0.25">
      <c r="A212" s="83"/>
      <c r="B212" s="83"/>
      <c r="C212" s="83"/>
      <c r="D212" s="83"/>
      <c r="E212" s="83"/>
    </row>
    <row r="213" spans="1:5" ht="12" customHeight="1" x14ac:dyDescent="0.25">
      <c r="A213" s="83"/>
      <c r="B213" s="83"/>
      <c r="C213" s="83"/>
      <c r="D213" s="83"/>
      <c r="E213" s="83"/>
    </row>
    <row r="214" spans="1:5" ht="12" customHeight="1" x14ac:dyDescent="0.25">
      <c r="A214" s="83"/>
      <c r="B214" s="83"/>
      <c r="C214" s="83"/>
      <c r="D214" s="83"/>
      <c r="E214" s="83"/>
    </row>
    <row r="215" spans="1:5" ht="12" customHeight="1" x14ac:dyDescent="0.25">
      <c r="A215" s="83"/>
      <c r="B215" s="83"/>
      <c r="C215" s="83"/>
      <c r="D215" s="83"/>
      <c r="E215" s="83"/>
    </row>
    <row r="216" spans="1:5" ht="12" customHeight="1" x14ac:dyDescent="0.25">
      <c r="A216" s="83"/>
      <c r="B216" s="83"/>
      <c r="C216" s="83"/>
      <c r="D216" s="83"/>
      <c r="E216" s="83"/>
    </row>
    <row r="217" spans="1:5" ht="12" customHeight="1" x14ac:dyDescent="0.25">
      <c r="A217" s="83"/>
      <c r="B217" s="83"/>
      <c r="C217" s="83"/>
      <c r="D217" s="83"/>
      <c r="E217" s="83"/>
    </row>
    <row r="218" spans="1:5" ht="12" customHeight="1" x14ac:dyDescent="0.25">
      <c r="A218" s="83"/>
      <c r="B218" s="83"/>
      <c r="C218" s="83"/>
      <c r="D218" s="83"/>
      <c r="E218" s="83"/>
    </row>
    <row r="219" spans="1:5" ht="12" customHeight="1" x14ac:dyDescent="0.25">
      <c r="A219" s="83"/>
      <c r="B219" s="83"/>
      <c r="C219" s="83"/>
      <c r="D219" s="83"/>
      <c r="E219" s="83"/>
    </row>
    <row r="220" spans="1:5" ht="12" customHeight="1" x14ac:dyDescent="0.25">
      <c r="A220" s="83"/>
      <c r="B220" s="83"/>
      <c r="C220" s="83"/>
      <c r="D220" s="83"/>
      <c r="E220" s="83"/>
    </row>
    <row r="221" spans="1:5" ht="15.75" customHeight="1" x14ac:dyDescent="0.25"/>
    <row r="222" spans="1:5" ht="15.75" customHeight="1" x14ac:dyDescent="0.25"/>
    <row r="223" spans="1:5" ht="15.75" customHeight="1" x14ac:dyDescent="0.25"/>
    <row r="224" spans="1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Instructions</vt:lpstr>
      <vt:lpstr>CapFloorSetup</vt:lpstr>
      <vt:lpstr>Cap_Floor</vt:lpstr>
      <vt:lpstr>RatesSetup</vt:lpstr>
      <vt:lpstr>Base</vt:lpstr>
      <vt:lpstr>Up100</vt:lpstr>
      <vt:lpstr>Dwn100</vt:lpstr>
      <vt:lpstr>Up200</vt:lpstr>
      <vt:lpstr>Dwn200</vt:lpstr>
      <vt:lpstr>Up400</vt:lpstr>
      <vt:lpstr>Dwn400</vt:lpstr>
      <vt:lpstr>IndexSetup</vt:lpstr>
      <vt:lpstr>Idx_Base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Lloveras Sauras</dc:creator>
  <cp:lastModifiedBy>Rodrigo Sanz Monreal</cp:lastModifiedBy>
  <dcterms:created xsi:type="dcterms:W3CDTF">2025-10-27T15:31:25Z</dcterms:created>
  <dcterms:modified xsi:type="dcterms:W3CDTF">2026-02-19T17:37:16Z</dcterms:modified>
</cp:coreProperties>
</file>